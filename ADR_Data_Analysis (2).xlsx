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bout" sheetId="2" state="visible" r:id="rId4"/>
    <sheet name="Data" sheetId="3" state="visible" r:id="rId5"/>
    <sheet name="Analysis" sheetId="4" state="visible" r:id="rId6"/>
    <sheet name="Drug Risk Ranking" sheetId="5" state="visible" r:id="rId7"/>
    <sheet name="Drug-ADR Signals" sheetId="6" state="visible" r:id="rId8"/>
    <sheet name="Sample ADR Data" sheetId="7" state="visible" r:id="rId9"/>
  </sheets>
  <definedNames>
    <definedName function="false" hidden="true" localSheetId="2" name="_xlnm._FilterDatabase" vbProcedure="false">Data!$A$1:$N$1249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<sst xmlns="http://schemas.openxmlformats.org/spreadsheetml/2006/main" count="11858" uniqueCount="1510">
  <si>
    <t xml:space="preserve">ADVERSE DRUG REACTION (ADR) DATA ANALYSIS</t>
  </si>
  <si>
    <t xml:space="preserve">Present. Analyze. Impact.</t>
  </si>
  <si>
    <t xml:space="preserve">TOTAL ADR REPORTS</t>
  </si>
  <si>
    <t xml:space="preserve">SERIOUS REPORTS</t>
  </si>
  <si>
    <t xml:space="preserve">SUSPECTED DRUGS</t>
  </si>
  <si>
    <t xml:space="preserve">COUNTRIES</t>
  </si>
  <si>
    <t xml:space="preserve">KEY INSIGHTS</t>
  </si>
  <si>
    <t xml:space="preserve">Note: dataset is synthetic (demo). All figures are formulas driven by the Data sheet. See About sheet for definitions.</t>
  </si>
  <si>
    <t xml:space="preserve">Adverse Drug Reaction (ADR) Data Analysis</t>
  </si>
  <si>
    <t xml:space="preserve">Purpose: analyze ADR reports (symptoms, suspected drug, onset timeline, outcome) to find high-risk medicines and likely causes.</t>
  </si>
  <si>
    <t xml:space="preserve">Workflow: 1) Collect ADR reports  2) Clean &amp; standardize  3) Analyze (Analysis sheet)  4) Visualize (Dashboard)  5) Draw safety insights</t>
  </si>
  <si>
    <t xml:space="preserve">Definitions / assumptions</t>
  </si>
  <si>
    <t xml:space="preserve">- Data is SYNTHETIC (generated for demonstration); replace the Data sheet with real reports (e.g. PvPI / VigiBase exports) to reuse.</t>
  </si>
  <si>
    <t xml:space="preserve">- Serious report = severity is Severe or Life-Threatening (formula in Data!L).</t>
  </si>
  <si>
    <t xml:space="preserve">- System Organ Class (SOC) names are simplified groupings of MedDRA SOCs.</t>
  </si>
  <si>
    <t xml:space="preserve">- Causality uses WHO-UMC categories: Certain, Probable, Possible, Unlikely (Naranjo / Bradford Hill are alternative tools).</t>
  </si>
  <si>
    <t xml:space="preserve">- High-risk drug = highest number of serious reports; serious % is shown to separate frequent from dangerous drugs.</t>
  </si>
  <si>
    <t xml:space="preserve">- Age group and onset band are formulas based on Age and Onset (days).</t>
  </si>
  <si>
    <t xml:space="preserve">- All counts on Analysis/Dashboard are formulas, so they update when the Data sheet changes. Top-10 drug ranking is dynamic; SOC bar order is fixed at build time.</t>
  </si>
  <si>
    <t xml:space="preserve">Report ID</t>
  </si>
  <si>
    <t xml:space="preserve">Age</t>
  </si>
  <si>
    <t xml:space="preserve">Gender</t>
  </si>
  <si>
    <t xml:space="preserve">Country</t>
  </si>
  <si>
    <t xml:space="preserve">Suspected Drug</t>
  </si>
  <si>
    <t xml:space="preserve">ADR Term</t>
  </si>
  <si>
    <t xml:space="preserve">System Organ Class</t>
  </si>
  <si>
    <t xml:space="preserve">Severity</t>
  </si>
  <si>
    <t xml:space="preserve">Onset (days)</t>
  </si>
  <si>
    <t xml:space="preserve">Outcome</t>
  </si>
  <si>
    <t xml:space="preserve">Causality (WHO-UMC)</t>
  </si>
  <si>
    <t xml:space="preserve">Serious</t>
  </si>
  <si>
    <t xml:space="preserve">Age Group</t>
  </si>
  <si>
    <t xml:space="preserve">Onset Band</t>
  </si>
  <si>
    <t xml:space="preserve">ADR0001</t>
  </si>
  <si>
    <t xml:space="preserve">Male</t>
  </si>
  <si>
    <t xml:space="preserve">India</t>
  </si>
  <si>
    <t xml:space="preserve">Ibuprofen</t>
  </si>
  <si>
    <t xml:space="preserve">Gastritis</t>
  </si>
  <si>
    <t xml:space="preserve">Gastrointestinal</t>
  </si>
  <si>
    <t xml:space="preserve">Moderate</t>
  </si>
  <si>
    <t xml:space="preserve">Recovered</t>
  </si>
  <si>
    <t xml:space="preserve">Unlikely</t>
  </si>
  <si>
    <t xml:space="preserve">ADR0002</t>
  </si>
  <si>
    <t xml:space="preserve">Female</t>
  </si>
  <si>
    <t xml:space="preserve">Acyclovir</t>
  </si>
  <si>
    <t xml:space="preserve">Nausea</t>
  </si>
  <si>
    <t xml:space="preserve">Mild</t>
  </si>
  <si>
    <t xml:space="preserve">Recovering</t>
  </si>
  <si>
    <t xml:space="preserve">Possible</t>
  </si>
  <si>
    <t xml:space="preserve">ADR0003</t>
  </si>
  <si>
    <t xml:space="preserve">Brazil</t>
  </si>
  <si>
    <t xml:space="preserve">Gentamicin</t>
  </si>
  <si>
    <t xml:space="preserve">Ototoxicity</t>
  </si>
  <si>
    <t xml:space="preserve">Nervous System</t>
  </si>
  <si>
    <t xml:space="preserve">ADR0004</t>
  </si>
  <si>
    <t xml:space="preserve">United States</t>
  </si>
  <si>
    <t xml:space="preserve">Enalapril</t>
  </si>
  <si>
    <t xml:space="preserve">Angioedema</t>
  </si>
  <si>
    <t xml:space="preserve">Immune System</t>
  </si>
  <si>
    <t xml:space="preserve">Life-Threatening</t>
  </si>
  <si>
    <t xml:space="preserve">ADR0005</t>
  </si>
  <si>
    <t xml:space="preserve">Tramadol</t>
  </si>
  <si>
    <t xml:space="preserve">Dizziness</t>
  </si>
  <si>
    <t xml:space="preserve">Probable</t>
  </si>
  <si>
    <t xml:space="preserve">ADR0006</t>
  </si>
  <si>
    <t xml:space="preserve">Methotrexate</t>
  </si>
  <si>
    <t xml:space="preserve">Oral mucositis</t>
  </si>
  <si>
    <t xml:space="preserve">Recovered with Sequelae</t>
  </si>
  <si>
    <t xml:space="preserve">ADR0007</t>
  </si>
  <si>
    <t xml:space="preserve">United Kingdom</t>
  </si>
  <si>
    <t xml:space="preserve">Morphine</t>
  </si>
  <si>
    <t xml:space="preserve">Respiratory depression</t>
  </si>
  <si>
    <t xml:space="preserve">Respiratory</t>
  </si>
  <si>
    <t xml:space="preserve">ADR0008</t>
  </si>
  <si>
    <t xml:space="preserve">Amoxicillin</t>
  </si>
  <si>
    <t xml:space="preserve">Anaphylaxis</t>
  </si>
  <si>
    <t xml:space="preserve">Severe</t>
  </si>
  <si>
    <t xml:space="preserve">ADR0009</t>
  </si>
  <si>
    <t xml:space="preserve">Apixaban</t>
  </si>
  <si>
    <t xml:space="preserve">Haemorrhage</t>
  </si>
  <si>
    <t xml:space="preserve">Blood &amp; Lymphatic</t>
  </si>
  <si>
    <t xml:space="preserve">ADR0010</t>
  </si>
  <si>
    <t xml:space="preserve">Turkey</t>
  </si>
  <si>
    <t xml:space="preserve">Digoxin</t>
  </si>
  <si>
    <t xml:space="preserve">ADR0011</t>
  </si>
  <si>
    <t xml:space="preserve">Argentina</t>
  </si>
  <si>
    <t xml:space="preserve">Rifampicin</t>
  </si>
  <si>
    <t xml:space="preserve">ADR0012</t>
  </si>
  <si>
    <t xml:space="preserve">South Africa</t>
  </si>
  <si>
    <t xml:space="preserve">Aspirin</t>
  </si>
  <si>
    <t xml:space="preserve">ADR0013</t>
  </si>
  <si>
    <t xml:space="preserve">Bangladesh</t>
  </si>
  <si>
    <t xml:space="preserve">Risperidone</t>
  </si>
  <si>
    <t xml:space="preserve">Weight gain</t>
  </si>
  <si>
    <t xml:space="preserve">Metabolism &amp; Nutrition</t>
  </si>
  <si>
    <t xml:space="preserve">ADR0014</t>
  </si>
  <si>
    <t xml:space="preserve">Furosemide</t>
  </si>
  <si>
    <t xml:space="preserve">Hypokalaemia</t>
  </si>
  <si>
    <t xml:space="preserve">ADR0015</t>
  </si>
  <si>
    <t xml:space="preserve">Nigeria</t>
  </si>
  <si>
    <t xml:space="preserve">Dry cough</t>
  </si>
  <si>
    <t xml:space="preserve">ADR0016</t>
  </si>
  <si>
    <t xml:space="preserve">Canada</t>
  </si>
  <si>
    <t xml:space="preserve">Hepatitis</t>
  </si>
  <si>
    <t xml:space="preserve">Hepatobiliary</t>
  </si>
  <si>
    <t xml:space="preserve">Fatal</t>
  </si>
  <si>
    <t xml:space="preserve">ADR0017</t>
  </si>
  <si>
    <t xml:space="preserve">Codeine</t>
  </si>
  <si>
    <t xml:space="preserve">Constipation</t>
  </si>
  <si>
    <t xml:space="preserve">ADR0018</t>
  </si>
  <si>
    <t xml:space="preserve">Diazepam</t>
  </si>
  <si>
    <t xml:space="preserve">ADR0019</t>
  </si>
  <si>
    <t xml:space="preserve">Netherlands</t>
  </si>
  <si>
    <t xml:space="preserve">Phenytoin</t>
  </si>
  <si>
    <t xml:space="preserve">SJS/TEN</t>
  </si>
  <si>
    <t xml:space="preserve">Skin &amp; Subcutaneous</t>
  </si>
  <si>
    <t xml:space="preserve">ADR0020</t>
  </si>
  <si>
    <t xml:space="preserve">Pakistan</t>
  </si>
  <si>
    <t xml:space="preserve">Fluoxetine</t>
  </si>
  <si>
    <t xml:space="preserve">ADR0021</t>
  </si>
  <si>
    <t xml:space="preserve">Indonesia</t>
  </si>
  <si>
    <t xml:space="preserve">Doxycycline</t>
  </si>
  <si>
    <t xml:space="preserve">ADR0022</t>
  </si>
  <si>
    <t xml:space="preserve">South Korea</t>
  </si>
  <si>
    <t xml:space="preserve">Ivermectin</t>
  </si>
  <si>
    <t xml:space="preserve">ADR0023</t>
  </si>
  <si>
    <t xml:space="preserve">UAE</t>
  </si>
  <si>
    <t xml:space="preserve">Levofloxacin</t>
  </si>
  <si>
    <t xml:space="preserve">Insomnia</t>
  </si>
  <si>
    <t xml:space="preserve">ADR0024</t>
  </si>
  <si>
    <t xml:space="preserve">Losartan</t>
  </si>
  <si>
    <t xml:space="preserve">Hyperkalaemia</t>
  </si>
  <si>
    <t xml:space="preserve">ADR0025</t>
  </si>
  <si>
    <t xml:space="preserve">ADR0026</t>
  </si>
  <si>
    <t xml:space="preserve">Simvastatin</t>
  </si>
  <si>
    <t xml:space="preserve">Myalgia</t>
  </si>
  <si>
    <t xml:space="preserve">Musculoskeletal</t>
  </si>
  <si>
    <t xml:space="preserve">ADR0027</t>
  </si>
  <si>
    <t xml:space="preserve">Cefixime</t>
  </si>
  <si>
    <t xml:space="preserve">Diarrhoea</t>
  </si>
  <si>
    <t xml:space="preserve">ADR0028</t>
  </si>
  <si>
    <t xml:space="preserve">Amitriptyline</t>
  </si>
  <si>
    <t xml:space="preserve">Dry mouth</t>
  </si>
  <si>
    <t xml:space="preserve">ADR0029</t>
  </si>
  <si>
    <t xml:space="preserve">Australia</t>
  </si>
  <si>
    <t xml:space="preserve">Nephrotoxicity</t>
  </si>
  <si>
    <t xml:space="preserve">Renal &amp; Urinary</t>
  </si>
  <si>
    <t xml:space="preserve">Certain</t>
  </si>
  <si>
    <t xml:space="preserve">ADR0030</t>
  </si>
  <si>
    <t xml:space="preserve">Saudi Arabia</t>
  </si>
  <si>
    <t xml:space="preserve">Insulin Glargine</t>
  </si>
  <si>
    <t xml:space="preserve">Injection site reaction</t>
  </si>
  <si>
    <t xml:space="preserve">General Disorders</t>
  </si>
  <si>
    <t xml:space="preserve">ADR0031</t>
  </si>
  <si>
    <t xml:space="preserve">ADR0032</t>
  </si>
  <si>
    <t xml:space="preserve">Germany</t>
  </si>
  <si>
    <t xml:space="preserve">Glimepiride</t>
  </si>
  <si>
    <t xml:space="preserve">ADR0033</t>
  </si>
  <si>
    <t xml:space="preserve">Pregabalin</t>
  </si>
  <si>
    <t xml:space="preserve">ADR0034</t>
  </si>
  <si>
    <t xml:space="preserve">Montelukast</t>
  </si>
  <si>
    <t xml:space="preserve">Neuropsychiatric events</t>
  </si>
  <si>
    <t xml:space="preserve">ADR0035</t>
  </si>
  <si>
    <t xml:space="preserve">Singapore</t>
  </si>
  <si>
    <t xml:space="preserve">Salbutamol</t>
  </si>
  <si>
    <t xml:space="preserve">Tremor</t>
  </si>
  <si>
    <t xml:space="preserve">ADR0036</t>
  </si>
  <si>
    <t xml:space="preserve">ADR0037</t>
  </si>
  <si>
    <t xml:space="preserve">Japan</t>
  </si>
  <si>
    <t xml:space="preserve">Not Recovered</t>
  </si>
  <si>
    <t xml:space="preserve">ADR0038</t>
  </si>
  <si>
    <t xml:space="preserve">Extrapyramidal symptoms</t>
  </si>
  <si>
    <t xml:space="preserve">ADR0039</t>
  </si>
  <si>
    <t xml:space="preserve">Cotrimoxazole</t>
  </si>
  <si>
    <t xml:space="preserve">ADR0040</t>
  </si>
  <si>
    <t xml:space="preserve">Amiodarone</t>
  </si>
  <si>
    <t xml:space="preserve">Bradycardia</t>
  </si>
  <si>
    <t xml:space="preserve">Cardiac</t>
  </si>
  <si>
    <t xml:space="preserve">ADR0041</t>
  </si>
  <si>
    <t xml:space="preserve">Ciprofloxacin</t>
  </si>
  <si>
    <t xml:space="preserve">ADR0042</t>
  </si>
  <si>
    <t xml:space="preserve">Prednisolone</t>
  </si>
  <si>
    <t xml:space="preserve">ADR0043</t>
  </si>
  <si>
    <t xml:space="preserve">Azithromycin</t>
  </si>
  <si>
    <t xml:space="preserve">ADR0044</t>
  </si>
  <si>
    <t xml:space="preserve">ADR0045</t>
  </si>
  <si>
    <t xml:space="preserve">Spironolactone</t>
  </si>
  <si>
    <t xml:space="preserve">ADR0046</t>
  </si>
  <si>
    <t xml:space="preserve">Rivaroxaban</t>
  </si>
  <si>
    <t xml:space="preserve">ADR0047</t>
  </si>
  <si>
    <t xml:space="preserve">Thailand</t>
  </si>
  <si>
    <t xml:space="preserve">Sertraline</t>
  </si>
  <si>
    <t xml:space="preserve">Serotonin syndrome</t>
  </si>
  <si>
    <t xml:space="preserve">ADR0048</t>
  </si>
  <si>
    <t xml:space="preserve">Spain</t>
  </si>
  <si>
    <t xml:space="preserve">ADR0049</t>
  </si>
  <si>
    <t xml:space="preserve">France</t>
  </si>
  <si>
    <t xml:space="preserve">ADR0050</t>
  </si>
  <si>
    <t xml:space="preserve">Heparin</t>
  </si>
  <si>
    <t xml:space="preserve">ADR0051</t>
  </si>
  <si>
    <t xml:space="preserve">Warfarin</t>
  </si>
  <si>
    <t xml:space="preserve">ADR0052</t>
  </si>
  <si>
    <t xml:space="preserve">Poland</t>
  </si>
  <si>
    <t xml:space="preserve">ADR0053</t>
  </si>
  <si>
    <t xml:space="preserve">Nitrofurantoin</t>
  </si>
  <si>
    <t xml:space="preserve">ADR0054</t>
  </si>
  <si>
    <t xml:space="preserve">Artesunate</t>
  </si>
  <si>
    <t xml:space="preserve">ADR0055</t>
  </si>
  <si>
    <t xml:space="preserve">Tamoxifen</t>
  </si>
  <si>
    <t xml:space="preserve">Venous thromboembolism</t>
  </si>
  <si>
    <t xml:space="preserve">ADR0056</t>
  </si>
  <si>
    <t xml:space="preserve">Sweden</t>
  </si>
  <si>
    <t xml:space="preserve">ADR0057</t>
  </si>
  <si>
    <t xml:space="preserve">Penicillin V</t>
  </si>
  <si>
    <t xml:space="preserve">Rash</t>
  </si>
  <si>
    <t xml:space="preserve">ADR0058</t>
  </si>
  <si>
    <t xml:space="preserve">Propranolol</t>
  </si>
  <si>
    <t xml:space="preserve">ADR0059</t>
  </si>
  <si>
    <t xml:space="preserve">ADR0060</t>
  </si>
  <si>
    <t xml:space="preserve">Ataxia</t>
  </si>
  <si>
    <t xml:space="preserve">ADR0061</t>
  </si>
  <si>
    <t xml:space="preserve">Hypoglycaemia</t>
  </si>
  <si>
    <t xml:space="preserve">ADR0062</t>
  </si>
  <si>
    <t xml:space="preserve">ADR0063</t>
  </si>
  <si>
    <t xml:space="preserve">ADR0064</t>
  </si>
  <si>
    <t xml:space="preserve">Pantoprazole</t>
  </si>
  <si>
    <t xml:space="preserve">ADR0065</t>
  </si>
  <si>
    <t xml:space="preserve">Paracetamol</t>
  </si>
  <si>
    <t xml:space="preserve">ADR0066</t>
  </si>
  <si>
    <t xml:space="preserve">Ceftriaxone</t>
  </si>
  <si>
    <t xml:space="preserve">ADR0067</t>
  </si>
  <si>
    <t xml:space="preserve">Russia</t>
  </si>
  <si>
    <t xml:space="preserve">ADR0068</t>
  </si>
  <si>
    <t xml:space="preserve">ADR0069</t>
  </si>
  <si>
    <t xml:space="preserve">Mexico</t>
  </si>
  <si>
    <t xml:space="preserve">Headache</t>
  </si>
  <si>
    <t xml:space="preserve">ADR0070</t>
  </si>
  <si>
    <t xml:space="preserve">Neutropenia</t>
  </si>
  <si>
    <t xml:space="preserve">ADR0071</t>
  </si>
  <si>
    <t xml:space="preserve">Gabapentin</t>
  </si>
  <si>
    <t xml:space="preserve">ADR0072</t>
  </si>
  <si>
    <t xml:space="preserve">Atorvastatin</t>
  </si>
  <si>
    <t xml:space="preserve">ADR0073</t>
  </si>
  <si>
    <t xml:space="preserve">Metformin</t>
  </si>
  <si>
    <t xml:space="preserve">ADR0074</t>
  </si>
  <si>
    <t xml:space="preserve">Italy</t>
  </si>
  <si>
    <t xml:space="preserve">ADR0075</t>
  </si>
  <si>
    <t xml:space="preserve">ADR0076</t>
  </si>
  <si>
    <t xml:space="preserve">ADR0077</t>
  </si>
  <si>
    <t xml:space="preserve">Peripheral oedema</t>
  </si>
  <si>
    <t xml:space="preserve">ADR0078</t>
  </si>
  <si>
    <t xml:space="preserve">ADR0079</t>
  </si>
  <si>
    <t xml:space="preserve">ADR0080</t>
  </si>
  <si>
    <t xml:space="preserve">Rosuvastatin</t>
  </si>
  <si>
    <t xml:space="preserve">Rhabdomyolysis</t>
  </si>
  <si>
    <t xml:space="preserve">ADR0081</t>
  </si>
  <si>
    <t xml:space="preserve">Valproate</t>
  </si>
  <si>
    <t xml:space="preserve">Thrombocytopenia</t>
  </si>
  <si>
    <t xml:space="preserve">ADR0082</t>
  </si>
  <si>
    <t xml:space="preserve">ADR0083</t>
  </si>
  <si>
    <t xml:space="preserve">ADR0084</t>
  </si>
  <si>
    <t xml:space="preserve">Gliclazide</t>
  </si>
  <si>
    <t xml:space="preserve">ADR0085</t>
  </si>
  <si>
    <t xml:space="preserve">ADR0086</t>
  </si>
  <si>
    <t xml:space="preserve">Hepatotoxicity</t>
  </si>
  <si>
    <t xml:space="preserve">ADR0087</t>
  </si>
  <si>
    <t xml:space="preserve">Allopurinol</t>
  </si>
  <si>
    <t xml:space="preserve">ADR0088</t>
  </si>
  <si>
    <t xml:space="preserve">Diclofenac</t>
  </si>
  <si>
    <t xml:space="preserve">Gastric ulcer</t>
  </si>
  <si>
    <t xml:space="preserve">ADR0089</t>
  </si>
  <si>
    <t xml:space="preserve">ADR0090</t>
  </si>
  <si>
    <t xml:space="preserve">Lamotrigine</t>
  </si>
  <si>
    <t xml:space="preserve">ADR0091</t>
  </si>
  <si>
    <t xml:space="preserve">Renal impairment</t>
  </si>
  <si>
    <t xml:space="preserve">ADR0092</t>
  </si>
  <si>
    <t xml:space="preserve">ADR0093</t>
  </si>
  <si>
    <t xml:space="preserve">ADR0094</t>
  </si>
  <si>
    <t xml:space="preserve">ADR0095</t>
  </si>
  <si>
    <t xml:space="preserve">ADR0096</t>
  </si>
  <si>
    <t xml:space="preserve">Metronidazole</t>
  </si>
  <si>
    <t xml:space="preserve">ADR0097</t>
  </si>
  <si>
    <t xml:space="preserve">ADR0098</t>
  </si>
  <si>
    <t xml:space="preserve">ADR0099</t>
  </si>
  <si>
    <t xml:space="preserve">Tendon rupture</t>
  </si>
  <si>
    <t xml:space="preserve">ADR0100</t>
  </si>
  <si>
    <t xml:space="preserve">ADR0101</t>
  </si>
  <si>
    <t xml:space="preserve">Hydroxychloroquine</t>
  </si>
  <si>
    <t xml:space="preserve">ADR0102</t>
  </si>
  <si>
    <t xml:space="preserve">ADR0103</t>
  </si>
  <si>
    <t xml:space="preserve">ADR0104</t>
  </si>
  <si>
    <t xml:space="preserve">Capecitabine</t>
  </si>
  <si>
    <t xml:space="preserve">Hand-foot syndrome</t>
  </si>
  <si>
    <t xml:space="preserve">ADR0105</t>
  </si>
  <si>
    <t xml:space="preserve">ADR0106</t>
  </si>
  <si>
    <t xml:space="preserve">ADR0107</t>
  </si>
  <si>
    <t xml:space="preserve">ADR0108</t>
  </si>
  <si>
    <t xml:space="preserve">ADR0109</t>
  </si>
  <si>
    <t xml:space="preserve">ADR0110</t>
  </si>
  <si>
    <t xml:space="preserve">ADR0111</t>
  </si>
  <si>
    <t xml:space="preserve">ADR0112</t>
  </si>
  <si>
    <t xml:space="preserve">Isoniazid</t>
  </si>
  <si>
    <t xml:space="preserve">Peripheral neuropathy</t>
  </si>
  <si>
    <t xml:space="preserve">ADR0113</t>
  </si>
  <si>
    <t xml:space="preserve">Levothyroxine</t>
  </si>
  <si>
    <t xml:space="preserve">Palpitations</t>
  </si>
  <si>
    <t xml:space="preserve">ADR0114</t>
  </si>
  <si>
    <t xml:space="preserve">Amlodipine</t>
  </si>
  <si>
    <t xml:space="preserve">ADR0115</t>
  </si>
  <si>
    <t xml:space="preserve">ADR0116</t>
  </si>
  <si>
    <t xml:space="preserve">ADR0117</t>
  </si>
  <si>
    <t xml:space="preserve">Celecoxib</t>
  </si>
  <si>
    <t xml:space="preserve">ADR0118</t>
  </si>
  <si>
    <t xml:space="preserve">Domperidone</t>
  </si>
  <si>
    <t xml:space="preserve">ADR0119</t>
  </si>
  <si>
    <t xml:space="preserve">Atenolol</t>
  </si>
  <si>
    <t xml:space="preserve">ADR0120</t>
  </si>
  <si>
    <t xml:space="preserve">ADR0121</t>
  </si>
  <si>
    <t xml:space="preserve">Haemolysis</t>
  </si>
  <si>
    <t xml:space="preserve">ADR0122</t>
  </si>
  <si>
    <t xml:space="preserve">ADR0123</t>
  </si>
  <si>
    <t xml:space="preserve">Cetirizine</t>
  </si>
  <si>
    <t xml:space="preserve">Sedation</t>
  </si>
  <si>
    <t xml:space="preserve">ADR0124</t>
  </si>
  <si>
    <t xml:space="preserve">Clarithromycin</t>
  </si>
  <si>
    <t xml:space="preserve">QT prolongation</t>
  </si>
  <si>
    <t xml:space="preserve">ADR0125</t>
  </si>
  <si>
    <t xml:space="preserve">China</t>
  </si>
  <si>
    <t xml:space="preserve">ADR0126</t>
  </si>
  <si>
    <t xml:space="preserve">ADR0127</t>
  </si>
  <si>
    <t xml:space="preserve">ADR0128</t>
  </si>
  <si>
    <t xml:space="preserve">ADR0129</t>
  </si>
  <si>
    <t xml:space="preserve">Fluconazole</t>
  </si>
  <si>
    <t xml:space="preserve">Raised liver enzymes</t>
  </si>
  <si>
    <t xml:space="preserve">ADR0130</t>
  </si>
  <si>
    <t xml:space="preserve">ADR0131</t>
  </si>
  <si>
    <t xml:space="preserve">ADR0132</t>
  </si>
  <si>
    <t xml:space="preserve">ADR0133</t>
  </si>
  <si>
    <t xml:space="preserve">ADR0134</t>
  </si>
  <si>
    <t xml:space="preserve">ADR0135</t>
  </si>
  <si>
    <t xml:space="preserve">ADR0136</t>
  </si>
  <si>
    <t xml:space="preserve">ADR0137</t>
  </si>
  <si>
    <t xml:space="preserve">ADR0138</t>
  </si>
  <si>
    <t xml:space="preserve">ADR0139</t>
  </si>
  <si>
    <t xml:space="preserve">ADR0140</t>
  </si>
  <si>
    <t xml:space="preserve">Retinopathy</t>
  </si>
  <si>
    <t xml:space="preserve">ADR0141</t>
  </si>
  <si>
    <t xml:space="preserve">ADR0142</t>
  </si>
  <si>
    <t xml:space="preserve">Lactic acidosis</t>
  </si>
  <si>
    <t xml:space="preserve">ADR0143</t>
  </si>
  <si>
    <t xml:space="preserve">ADR0144</t>
  </si>
  <si>
    <t xml:space="preserve">ADR0145</t>
  </si>
  <si>
    <t xml:space="preserve">Haloperidol</t>
  </si>
  <si>
    <t xml:space="preserve">ADR0146</t>
  </si>
  <si>
    <t xml:space="preserve">ADR0147</t>
  </si>
  <si>
    <t xml:space="preserve">ADR0148</t>
  </si>
  <si>
    <t xml:space="preserve">ADR0149</t>
  </si>
  <si>
    <t xml:space="preserve">Bronchospasm</t>
  </si>
  <si>
    <t xml:space="preserve">ADR0150</t>
  </si>
  <si>
    <t xml:space="preserve">ADR0151</t>
  </si>
  <si>
    <t xml:space="preserve">ADR0152</t>
  </si>
  <si>
    <t xml:space="preserve">ADR0153</t>
  </si>
  <si>
    <t xml:space="preserve">ADR0154</t>
  </si>
  <si>
    <t xml:space="preserve">ADR0155</t>
  </si>
  <si>
    <t xml:space="preserve">GI bleeding</t>
  </si>
  <si>
    <t xml:space="preserve">ADR0156</t>
  </si>
  <si>
    <t xml:space="preserve">ADR0157</t>
  </si>
  <si>
    <t xml:space="preserve">ADR0158</t>
  </si>
  <si>
    <t xml:space="preserve">ADR0159</t>
  </si>
  <si>
    <t xml:space="preserve">Levetiracetam</t>
  </si>
  <si>
    <t xml:space="preserve">ADR0160</t>
  </si>
  <si>
    <t xml:space="preserve">Pulmonary fibrosis</t>
  </si>
  <si>
    <t xml:space="preserve">ADR0161</t>
  </si>
  <si>
    <t xml:space="preserve">ADR0162</t>
  </si>
  <si>
    <t xml:space="preserve">Ondansetron</t>
  </si>
  <si>
    <t xml:space="preserve">ADR0163</t>
  </si>
  <si>
    <t xml:space="preserve">Zolpidem</t>
  </si>
  <si>
    <t xml:space="preserve">Confusion</t>
  </si>
  <si>
    <t xml:space="preserve">ADR0164</t>
  </si>
  <si>
    <t xml:space="preserve">Arrhythmia</t>
  </si>
  <si>
    <t xml:space="preserve">ADR0165</t>
  </si>
  <si>
    <t xml:space="preserve">ADR0166</t>
  </si>
  <si>
    <t xml:space="preserve">ADR0167</t>
  </si>
  <si>
    <t xml:space="preserve">Omeprazole</t>
  </si>
  <si>
    <t xml:space="preserve">ADR0168</t>
  </si>
  <si>
    <t xml:space="preserve">ADR0169</t>
  </si>
  <si>
    <t xml:space="preserve">Carbamazepine</t>
  </si>
  <si>
    <t xml:space="preserve">ADR0170</t>
  </si>
  <si>
    <t xml:space="preserve">ADR0171</t>
  </si>
  <si>
    <t xml:space="preserve">ADR0172</t>
  </si>
  <si>
    <t xml:space="preserve">ADR0173</t>
  </si>
  <si>
    <t xml:space="preserve">ADR0174</t>
  </si>
  <si>
    <t xml:space="preserve">ADR0175</t>
  </si>
  <si>
    <t xml:space="preserve">ADR0176</t>
  </si>
  <si>
    <t xml:space="preserve">ADR0177</t>
  </si>
  <si>
    <t xml:space="preserve">ADR0178</t>
  </si>
  <si>
    <t xml:space="preserve">ADR0179</t>
  </si>
  <si>
    <t xml:space="preserve">ADR0180</t>
  </si>
  <si>
    <t xml:space="preserve">Naproxen</t>
  </si>
  <si>
    <t xml:space="preserve">ADR0181</t>
  </si>
  <si>
    <t xml:space="preserve">ADR0182</t>
  </si>
  <si>
    <t xml:space="preserve">ADR0183</t>
  </si>
  <si>
    <t xml:space="preserve">ADR0184</t>
  </si>
  <si>
    <t xml:space="preserve">Bruising</t>
  </si>
  <si>
    <t xml:space="preserve">ADR0185</t>
  </si>
  <si>
    <t xml:space="preserve">ADR0186</t>
  </si>
  <si>
    <t xml:space="preserve">ADR0187</t>
  </si>
  <si>
    <t xml:space="preserve">Metoprolol</t>
  </si>
  <si>
    <t xml:space="preserve">ADR0188</t>
  </si>
  <si>
    <t xml:space="preserve">ADR0189</t>
  </si>
  <si>
    <t xml:space="preserve">ADR0190</t>
  </si>
  <si>
    <t xml:space="preserve">ADR0191</t>
  </si>
  <si>
    <t xml:space="preserve">Ampicillin</t>
  </si>
  <si>
    <t xml:space="preserve">ADR0192</t>
  </si>
  <si>
    <t xml:space="preserve">ADR0193</t>
  </si>
  <si>
    <t xml:space="preserve">ADR0194</t>
  </si>
  <si>
    <t xml:space="preserve">ADR0195</t>
  </si>
  <si>
    <t xml:space="preserve">ADR0196</t>
  </si>
  <si>
    <t xml:space="preserve">ADR0197</t>
  </si>
  <si>
    <t xml:space="preserve">ADR0198</t>
  </si>
  <si>
    <t xml:space="preserve">ADR0199</t>
  </si>
  <si>
    <t xml:space="preserve">ADR0200</t>
  </si>
  <si>
    <t xml:space="preserve">ADR0201</t>
  </si>
  <si>
    <t xml:space="preserve">ADR0202</t>
  </si>
  <si>
    <t xml:space="preserve">ADR0203</t>
  </si>
  <si>
    <t xml:space="preserve">ADR0204</t>
  </si>
  <si>
    <t xml:space="preserve">ADR0205</t>
  </si>
  <si>
    <t xml:space="preserve">ADR0206</t>
  </si>
  <si>
    <t xml:space="preserve">ADR0207</t>
  </si>
  <si>
    <t xml:space="preserve">ADR0208</t>
  </si>
  <si>
    <t xml:space="preserve">ADR0209</t>
  </si>
  <si>
    <t xml:space="preserve">ADR0210</t>
  </si>
  <si>
    <t xml:space="preserve">ADR0211</t>
  </si>
  <si>
    <t xml:space="preserve">ADR0212</t>
  </si>
  <si>
    <t xml:space="preserve">ADR0213</t>
  </si>
  <si>
    <t xml:space="preserve">Acute kidney injury</t>
  </si>
  <si>
    <t xml:space="preserve">ADR0214</t>
  </si>
  <si>
    <t xml:space="preserve">ADR0215</t>
  </si>
  <si>
    <t xml:space="preserve">ADR0216</t>
  </si>
  <si>
    <t xml:space="preserve">ADR0217</t>
  </si>
  <si>
    <t xml:space="preserve">ADR0218</t>
  </si>
  <si>
    <t xml:space="preserve">ADR0219</t>
  </si>
  <si>
    <t xml:space="preserve">Myocardial infarction</t>
  </si>
  <si>
    <t xml:space="preserve">ADR0220</t>
  </si>
  <si>
    <t xml:space="preserve">ADR0221</t>
  </si>
  <si>
    <t xml:space="preserve">ADR0222</t>
  </si>
  <si>
    <t xml:space="preserve">ADR0223</t>
  </si>
  <si>
    <t xml:space="preserve">ADR0224</t>
  </si>
  <si>
    <t xml:space="preserve">ADR0225</t>
  </si>
  <si>
    <t xml:space="preserve">ADR0226</t>
  </si>
  <si>
    <t xml:space="preserve">ADR0227</t>
  </si>
  <si>
    <t xml:space="preserve">ADR0228</t>
  </si>
  <si>
    <t xml:space="preserve">ADR0229</t>
  </si>
  <si>
    <t xml:space="preserve">ADR0230</t>
  </si>
  <si>
    <t xml:space="preserve">Cisplatin</t>
  </si>
  <si>
    <t xml:space="preserve">ADR0231</t>
  </si>
  <si>
    <t xml:space="preserve">ADR0232</t>
  </si>
  <si>
    <t xml:space="preserve">ADR0233</t>
  </si>
  <si>
    <t xml:space="preserve">ADR0234</t>
  </si>
  <si>
    <t xml:space="preserve">ADR0235</t>
  </si>
  <si>
    <t xml:space="preserve">ADR0236</t>
  </si>
  <si>
    <t xml:space="preserve">ADR0237</t>
  </si>
  <si>
    <t xml:space="preserve">ADR0238</t>
  </si>
  <si>
    <t xml:space="preserve">ADR0239</t>
  </si>
  <si>
    <t xml:space="preserve">ADR0240</t>
  </si>
  <si>
    <t xml:space="preserve">ADR0241</t>
  </si>
  <si>
    <t xml:space="preserve">ADR0242</t>
  </si>
  <si>
    <t xml:space="preserve">ADR0243</t>
  </si>
  <si>
    <t xml:space="preserve">ADR0244</t>
  </si>
  <si>
    <t xml:space="preserve">ADR0245</t>
  </si>
  <si>
    <t xml:space="preserve">ADR0246</t>
  </si>
  <si>
    <t xml:space="preserve">ADR0247</t>
  </si>
  <si>
    <t xml:space="preserve">ADR0248</t>
  </si>
  <si>
    <t xml:space="preserve">ADR0249</t>
  </si>
  <si>
    <t xml:space="preserve">Kenya</t>
  </si>
  <si>
    <t xml:space="preserve">ADR0250</t>
  </si>
  <si>
    <t xml:space="preserve">ADR0251</t>
  </si>
  <si>
    <t xml:space="preserve">ADR0252</t>
  </si>
  <si>
    <t xml:space="preserve">ADR0253</t>
  </si>
  <si>
    <t xml:space="preserve">ADR0254</t>
  </si>
  <si>
    <t xml:space="preserve">ADR0255</t>
  </si>
  <si>
    <t xml:space="preserve">ADR0256</t>
  </si>
  <si>
    <t xml:space="preserve">ADR0257</t>
  </si>
  <si>
    <t xml:space="preserve">ADR0258</t>
  </si>
  <si>
    <t xml:space="preserve">ADR0259</t>
  </si>
  <si>
    <t xml:space="preserve">ADR0260</t>
  </si>
  <si>
    <t xml:space="preserve">ADR0261</t>
  </si>
  <si>
    <t xml:space="preserve">ADR0262</t>
  </si>
  <si>
    <t xml:space="preserve">Seizure</t>
  </si>
  <si>
    <t xml:space="preserve">ADR0263</t>
  </si>
  <si>
    <t xml:space="preserve">ADR0264</t>
  </si>
  <si>
    <t xml:space="preserve">ADR0265</t>
  </si>
  <si>
    <t xml:space="preserve">ADR0266</t>
  </si>
  <si>
    <t xml:space="preserve">ADR0267</t>
  </si>
  <si>
    <t xml:space="preserve">ADR0268</t>
  </si>
  <si>
    <t xml:space="preserve">Clopidogrel</t>
  </si>
  <si>
    <t xml:space="preserve">ADR0269</t>
  </si>
  <si>
    <t xml:space="preserve">ADR0270</t>
  </si>
  <si>
    <t xml:space="preserve">Olanzapine</t>
  </si>
  <si>
    <t xml:space="preserve">ADR0271</t>
  </si>
  <si>
    <t xml:space="preserve">ADR0272</t>
  </si>
  <si>
    <t xml:space="preserve">ADR0273</t>
  </si>
  <si>
    <t xml:space="preserve">ADR0274</t>
  </si>
  <si>
    <t xml:space="preserve">ADR0275</t>
  </si>
  <si>
    <t xml:space="preserve">ADR0276</t>
  </si>
  <si>
    <t xml:space="preserve">ADR0277</t>
  </si>
  <si>
    <t xml:space="preserve">Hyperglycaemia</t>
  </si>
  <si>
    <t xml:space="preserve">ADR0278</t>
  </si>
  <si>
    <t xml:space="preserve">ADR0279</t>
  </si>
  <si>
    <t xml:space="preserve">ADR0280</t>
  </si>
  <si>
    <t xml:space="preserve">ADR0281</t>
  </si>
  <si>
    <t xml:space="preserve">ADR0282</t>
  </si>
  <si>
    <t xml:space="preserve">ADR0283</t>
  </si>
  <si>
    <t xml:space="preserve">ADR0284</t>
  </si>
  <si>
    <t xml:space="preserve">ADR0285</t>
  </si>
  <si>
    <t xml:space="preserve">ADR0286</t>
  </si>
  <si>
    <t xml:space="preserve">ADR0287</t>
  </si>
  <si>
    <t xml:space="preserve">ADR0288</t>
  </si>
  <si>
    <t xml:space="preserve">ADR0289</t>
  </si>
  <si>
    <t xml:space="preserve">ADR0290</t>
  </si>
  <si>
    <t xml:space="preserve">ADR0291</t>
  </si>
  <si>
    <t xml:space="preserve">ADR0292</t>
  </si>
  <si>
    <t xml:space="preserve">ADR0293</t>
  </si>
  <si>
    <t xml:space="preserve">ADR0294</t>
  </si>
  <si>
    <t xml:space="preserve">ADR0295</t>
  </si>
  <si>
    <t xml:space="preserve">ADR0296</t>
  </si>
  <si>
    <t xml:space="preserve">ADR0297</t>
  </si>
  <si>
    <t xml:space="preserve">ADR0298</t>
  </si>
  <si>
    <t xml:space="preserve">ADR0299</t>
  </si>
  <si>
    <t xml:space="preserve">ADR0300</t>
  </si>
  <si>
    <t xml:space="preserve">Hydrochlorothiazide</t>
  </si>
  <si>
    <t xml:space="preserve">Hyponatraemia</t>
  </si>
  <si>
    <t xml:space="preserve">ADR0301</t>
  </si>
  <si>
    <t xml:space="preserve">ADR0302</t>
  </si>
  <si>
    <t xml:space="preserve">ADR0303</t>
  </si>
  <si>
    <t xml:space="preserve">ADR0304</t>
  </si>
  <si>
    <t xml:space="preserve">ADR0305</t>
  </si>
  <si>
    <t xml:space="preserve">ADR0306</t>
  </si>
  <si>
    <t xml:space="preserve">Linezolid</t>
  </si>
  <si>
    <t xml:space="preserve">ADR0307</t>
  </si>
  <si>
    <t xml:space="preserve">ADR0308</t>
  </si>
  <si>
    <t xml:space="preserve">ADR0309</t>
  </si>
  <si>
    <t xml:space="preserve">ADR0310</t>
  </si>
  <si>
    <t xml:space="preserve">ADR0311</t>
  </si>
  <si>
    <t xml:space="preserve">ADR0312</t>
  </si>
  <si>
    <t xml:space="preserve">ADR0313</t>
  </si>
  <si>
    <t xml:space="preserve">ADR0314</t>
  </si>
  <si>
    <t xml:space="preserve">ADR0315</t>
  </si>
  <si>
    <t xml:space="preserve">ADR0316</t>
  </si>
  <si>
    <t xml:space="preserve">ADR0317</t>
  </si>
  <si>
    <t xml:space="preserve">ADR0318</t>
  </si>
  <si>
    <t xml:space="preserve">ADR0319</t>
  </si>
  <si>
    <t xml:space="preserve">ADR0320</t>
  </si>
  <si>
    <t xml:space="preserve">ADR0321</t>
  </si>
  <si>
    <t xml:space="preserve">ADR0322</t>
  </si>
  <si>
    <t xml:space="preserve">ADR0323</t>
  </si>
  <si>
    <t xml:space="preserve">ADR0324</t>
  </si>
  <si>
    <t xml:space="preserve">ADR0325</t>
  </si>
  <si>
    <t xml:space="preserve">ADR0326</t>
  </si>
  <si>
    <t xml:space="preserve">ADR0327</t>
  </si>
  <si>
    <t xml:space="preserve">ADR0328</t>
  </si>
  <si>
    <t xml:space="preserve">ADR0329</t>
  </si>
  <si>
    <t xml:space="preserve">ADR0330</t>
  </si>
  <si>
    <t xml:space="preserve">ADR0331</t>
  </si>
  <si>
    <t xml:space="preserve">ADR0332</t>
  </si>
  <si>
    <t xml:space="preserve">Photosensitivity</t>
  </si>
  <si>
    <t xml:space="preserve">ADR0333</t>
  </si>
  <si>
    <t xml:space="preserve">ADR0334</t>
  </si>
  <si>
    <t xml:space="preserve">ADR0335</t>
  </si>
  <si>
    <t xml:space="preserve">ADR0336</t>
  </si>
  <si>
    <t xml:space="preserve">ADR0337</t>
  </si>
  <si>
    <t xml:space="preserve">ADR0338</t>
  </si>
  <si>
    <t xml:space="preserve">ADR0339</t>
  </si>
  <si>
    <t xml:space="preserve">ADR0340</t>
  </si>
  <si>
    <t xml:space="preserve">ADR0341</t>
  </si>
  <si>
    <t xml:space="preserve">ADR0342</t>
  </si>
  <si>
    <t xml:space="preserve">ADR0343</t>
  </si>
  <si>
    <t xml:space="preserve">ADR0344</t>
  </si>
  <si>
    <t xml:space="preserve">ADR0345</t>
  </si>
  <si>
    <t xml:space="preserve">ADR0346</t>
  </si>
  <si>
    <t xml:space="preserve">ADR0347</t>
  </si>
  <si>
    <t xml:space="preserve">Ireland</t>
  </si>
  <si>
    <t xml:space="preserve">ADR0348</t>
  </si>
  <si>
    <t xml:space="preserve">ADR0349</t>
  </si>
  <si>
    <t xml:space="preserve">ADR0350</t>
  </si>
  <si>
    <t xml:space="preserve">ADR0351</t>
  </si>
  <si>
    <t xml:space="preserve">ADR0352</t>
  </si>
  <si>
    <t xml:space="preserve">ADR0353</t>
  </si>
  <si>
    <t xml:space="preserve">ADR0354</t>
  </si>
  <si>
    <t xml:space="preserve">ADR0355</t>
  </si>
  <si>
    <t xml:space="preserve">ADR0356</t>
  </si>
  <si>
    <t xml:space="preserve">ADR0357</t>
  </si>
  <si>
    <t xml:space="preserve">ADR0358</t>
  </si>
  <si>
    <t xml:space="preserve">ADR0359</t>
  </si>
  <si>
    <t xml:space="preserve">ADR0360</t>
  </si>
  <si>
    <t xml:space="preserve">ADR0361</t>
  </si>
  <si>
    <t xml:space="preserve">ADR0362</t>
  </si>
  <si>
    <t xml:space="preserve">ADR0363</t>
  </si>
  <si>
    <t xml:space="preserve">ADR0364</t>
  </si>
  <si>
    <t xml:space="preserve">ADR0365</t>
  </si>
  <si>
    <t xml:space="preserve">ADR0366</t>
  </si>
  <si>
    <t xml:space="preserve">ADR0367</t>
  </si>
  <si>
    <t xml:space="preserve">ADR0368</t>
  </si>
  <si>
    <t xml:space="preserve">ADR0369</t>
  </si>
  <si>
    <t xml:space="preserve">ADR0370</t>
  </si>
  <si>
    <t xml:space="preserve">ADR0371</t>
  </si>
  <si>
    <t xml:space="preserve">ADR0372</t>
  </si>
  <si>
    <t xml:space="preserve">ADR0373</t>
  </si>
  <si>
    <t xml:space="preserve">ADR0374</t>
  </si>
  <si>
    <t xml:space="preserve">ADR0375</t>
  </si>
  <si>
    <t xml:space="preserve">ADR0376</t>
  </si>
  <si>
    <t xml:space="preserve">ADR0377</t>
  </si>
  <si>
    <t xml:space="preserve">ADR0378</t>
  </si>
  <si>
    <t xml:space="preserve">ADR0379</t>
  </si>
  <si>
    <t xml:space="preserve">ADR0380</t>
  </si>
  <si>
    <t xml:space="preserve">ADR0381</t>
  </si>
  <si>
    <t xml:space="preserve">ADR0382</t>
  </si>
  <si>
    <t xml:space="preserve">ADR0383</t>
  </si>
  <si>
    <t xml:space="preserve">ADR0384</t>
  </si>
  <si>
    <t xml:space="preserve">ADR0385</t>
  </si>
  <si>
    <t xml:space="preserve">ADR0386</t>
  </si>
  <si>
    <t xml:space="preserve">ADR0387</t>
  </si>
  <si>
    <t xml:space="preserve">ADR0388</t>
  </si>
  <si>
    <t xml:space="preserve">ADR0389</t>
  </si>
  <si>
    <t xml:space="preserve">ADR0390</t>
  </si>
  <si>
    <t xml:space="preserve">ADR0391</t>
  </si>
  <si>
    <t xml:space="preserve">ADR0392</t>
  </si>
  <si>
    <t xml:space="preserve">ADR0393</t>
  </si>
  <si>
    <t xml:space="preserve">ADR0394</t>
  </si>
  <si>
    <t xml:space="preserve">ADR0395</t>
  </si>
  <si>
    <t xml:space="preserve">ADR0396</t>
  </si>
  <si>
    <t xml:space="preserve">ADR0397</t>
  </si>
  <si>
    <t xml:space="preserve">ADR0398</t>
  </si>
  <si>
    <t xml:space="preserve">ADR0399</t>
  </si>
  <si>
    <t xml:space="preserve">ADR0400</t>
  </si>
  <si>
    <t xml:space="preserve">ADR0401</t>
  </si>
  <si>
    <t xml:space="preserve">ADR0402</t>
  </si>
  <si>
    <t xml:space="preserve">ADR0403</t>
  </si>
  <si>
    <t xml:space="preserve">ADR0404</t>
  </si>
  <si>
    <t xml:space="preserve">ADR0405</t>
  </si>
  <si>
    <t xml:space="preserve">ADR0406</t>
  </si>
  <si>
    <t xml:space="preserve">Hot flushes</t>
  </si>
  <si>
    <t xml:space="preserve">ADR0407</t>
  </si>
  <si>
    <t xml:space="preserve">ADR0408</t>
  </si>
  <si>
    <t xml:space="preserve">ADR0409</t>
  </si>
  <si>
    <t xml:space="preserve">ADR0410</t>
  </si>
  <si>
    <t xml:space="preserve">ADR0411</t>
  </si>
  <si>
    <t xml:space="preserve">ADR0412</t>
  </si>
  <si>
    <t xml:space="preserve">ADR0413</t>
  </si>
  <si>
    <t xml:space="preserve">ADR0414</t>
  </si>
  <si>
    <t xml:space="preserve">ADR0415</t>
  </si>
  <si>
    <t xml:space="preserve">ADR0416</t>
  </si>
  <si>
    <t xml:space="preserve">ADR0417</t>
  </si>
  <si>
    <t xml:space="preserve">ADR0418</t>
  </si>
  <si>
    <t xml:space="preserve">ADR0419</t>
  </si>
  <si>
    <t xml:space="preserve">ADR0420</t>
  </si>
  <si>
    <t xml:space="preserve">Vancomycin</t>
  </si>
  <si>
    <t xml:space="preserve">ADR0421</t>
  </si>
  <si>
    <t xml:space="preserve">ADR0422</t>
  </si>
  <si>
    <t xml:space="preserve">ADR0423</t>
  </si>
  <si>
    <t xml:space="preserve">ADR0424</t>
  </si>
  <si>
    <t xml:space="preserve">ADR0425</t>
  </si>
  <si>
    <t xml:space="preserve">ADR0426</t>
  </si>
  <si>
    <t xml:space="preserve">ADR0427</t>
  </si>
  <si>
    <t xml:space="preserve">ADR0428</t>
  </si>
  <si>
    <t xml:space="preserve">ADR0429</t>
  </si>
  <si>
    <t xml:space="preserve">ADR0430</t>
  </si>
  <si>
    <t xml:space="preserve">ADR0431</t>
  </si>
  <si>
    <t xml:space="preserve">Egypt</t>
  </si>
  <si>
    <t xml:space="preserve">ADR0432</t>
  </si>
  <si>
    <t xml:space="preserve">ADR0433</t>
  </si>
  <si>
    <t xml:space="preserve">ADR0434</t>
  </si>
  <si>
    <t xml:space="preserve">ADR0435</t>
  </si>
  <si>
    <t xml:space="preserve">ADR0436</t>
  </si>
  <si>
    <t xml:space="preserve">ADR0437</t>
  </si>
  <si>
    <t xml:space="preserve">ADR0438</t>
  </si>
  <si>
    <t xml:space="preserve">ADR0439</t>
  </si>
  <si>
    <t xml:space="preserve">ADR0440</t>
  </si>
  <si>
    <t xml:space="preserve">ADR0441</t>
  </si>
  <si>
    <t xml:space="preserve">ADR0442</t>
  </si>
  <si>
    <t xml:space="preserve">ADR0443</t>
  </si>
  <si>
    <t xml:space="preserve">ADR0444</t>
  </si>
  <si>
    <t xml:space="preserve">ADR0445</t>
  </si>
  <si>
    <t xml:space="preserve">ADR0446</t>
  </si>
  <si>
    <t xml:space="preserve">ADR0447</t>
  </si>
  <si>
    <t xml:space="preserve">ADR0448</t>
  </si>
  <si>
    <t xml:space="preserve">ADR0449</t>
  </si>
  <si>
    <t xml:space="preserve">ADR0450</t>
  </si>
  <si>
    <t xml:space="preserve">ADR0451</t>
  </si>
  <si>
    <t xml:space="preserve">ADR0452</t>
  </si>
  <si>
    <t xml:space="preserve">ADR0453</t>
  </si>
  <si>
    <t xml:space="preserve">ADR0454</t>
  </si>
  <si>
    <t xml:space="preserve">ADR0455</t>
  </si>
  <si>
    <t xml:space="preserve">ADR0456</t>
  </si>
  <si>
    <t xml:space="preserve">Sitagliptin</t>
  </si>
  <si>
    <t xml:space="preserve">Pancreatitis</t>
  </si>
  <si>
    <t xml:space="preserve">ADR0457</t>
  </si>
  <si>
    <t xml:space="preserve">ADR0458</t>
  </si>
  <si>
    <t xml:space="preserve">ADR0459</t>
  </si>
  <si>
    <t xml:space="preserve">ADR0460</t>
  </si>
  <si>
    <t xml:space="preserve">ADR0461</t>
  </si>
  <si>
    <t xml:space="preserve">ADR0462</t>
  </si>
  <si>
    <t xml:space="preserve">ADR0463</t>
  </si>
  <si>
    <t xml:space="preserve">ADR0464</t>
  </si>
  <si>
    <t xml:space="preserve">ADR0465</t>
  </si>
  <si>
    <t xml:space="preserve">ADR0466</t>
  </si>
  <si>
    <t xml:space="preserve">ADR0467</t>
  </si>
  <si>
    <t xml:space="preserve">ADR0468</t>
  </si>
  <si>
    <t xml:space="preserve">ADR0469</t>
  </si>
  <si>
    <t xml:space="preserve">ADR0470</t>
  </si>
  <si>
    <t xml:space="preserve">ADR0471</t>
  </si>
  <si>
    <t xml:space="preserve">ADR0472</t>
  </si>
  <si>
    <t xml:space="preserve">ADR0473</t>
  </si>
  <si>
    <t xml:space="preserve">ADR0474</t>
  </si>
  <si>
    <t xml:space="preserve">ADR0475</t>
  </si>
  <si>
    <t xml:space="preserve">ADR0476</t>
  </si>
  <si>
    <t xml:space="preserve">ADR0477</t>
  </si>
  <si>
    <t xml:space="preserve">ADR0478</t>
  </si>
  <si>
    <t xml:space="preserve">ADR0479</t>
  </si>
  <si>
    <t xml:space="preserve">ADR0480</t>
  </si>
  <si>
    <t xml:space="preserve">ADR0481</t>
  </si>
  <si>
    <t xml:space="preserve">ADR0482</t>
  </si>
  <si>
    <t xml:space="preserve">ADR0483</t>
  </si>
  <si>
    <t xml:space="preserve">ADR0484</t>
  </si>
  <si>
    <t xml:space="preserve">ADR0485</t>
  </si>
  <si>
    <t xml:space="preserve">ADR0486</t>
  </si>
  <si>
    <t xml:space="preserve">ADR0487</t>
  </si>
  <si>
    <t xml:space="preserve">ADR0488</t>
  </si>
  <si>
    <t xml:space="preserve">ADR0489</t>
  </si>
  <si>
    <t xml:space="preserve">ADR0490</t>
  </si>
  <si>
    <t xml:space="preserve">ADR0491</t>
  </si>
  <si>
    <t xml:space="preserve">ADR0492</t>
  </si>
  <si>
    <t xml:space="preserve">ADR0493</t>
  </si>
  <si>
    <t xml:space="preserve">ADR0494</t>
  </si>
  <si>
    <t xml:space="preserve">ADR0495</t>
  </si>
  <si>
    <t xml:space="preserve">ADR0496</t>
  </si>
  <si>
    <t xml:space="preserve">ADR0497</t>
  </si>
  <si>
    <t xml:space="preserve">ADR0498</t>
  </si>
  <si>
    <t xml:space="preserve">ADR0499</t>
  </si>
  <si>
    <t xml:space="preserve">ADR0500</t>
  </si>
  <si>
    <t xml:space="preserve">ADR0501</t>
  </si>
  <si>
    <t xml:space="preserve">ADR0502</t>
  </si>
  <si>
    <t xml:space="preserve">ADR0503</t>
  </si>
  <si>
    <t xml:space="preserve">Irritability</t>
  </si>
  <si>
    <t xml:space="preserve">ADR0504</t>
  </si>
  <si>
    <t xml:space="preserve">ADR0505</t>
  </si>
  <si>
    <t xml:space="preserve">ADR0506</t>
  </si>
  <si>
    <t xml:space="preserve">ADR0507</t>
  </si>
  <si>
    <t xml:space="preserve">ADR0508</t>
  </si>
  <si>
    <t xml:space="preserve">ADR0509</t>
  </si>
  <si>
    <t xml:space="preserve">ADR0510</t>
  </si>
  <si>
    <t xml:space="preserve">Infusion reaction</t>
  </si>
  <si>
    <t xml:space="preserve">ADR0511</t>
  </si>
  <si>
    <t xml:space="preserve">ADR0512</t>
  </si>
  <si>
    <t xml:space="preserve">ADR0513</t>
  </si>
  <si>
    <t xml:space="preserve">ADR0514</t>
  </si>
  <si>
    <t xml:space="preserve">ADR0515</t>
  </si>
  <si>
    <t xml:space="preserve">ADR0516</t>
  </si>
  <si>
    <t xml:space="preserve">ADR0517</t>
  </si>
  <si>
    <t xml:space="preserve">ADR0518</t>
  </si>
  <si>
    <t xml:space="preserve">ADR0519</t>
  </si>
  <si>
    <t xml:space="preserve">ADR0520</t>
  </si>
  <si>
    <t xml:space="preserve">ADR0521</t>
  </si>
  <si>
    <t xml:space="preserve">ADR0522</t>
  </si>
  <si>
    <t xml:space="preserve">ADR0523</t>
  </si>
  <si>
    <t xml:space="preserve">ADR0524</t>
  </si>
  <si>
    <t xml:space="preserve">ADR0525</t>
  </si>
  <si>
    <t xml:space="preserve">ADR0526</t>
  </si>
  <si>
    <t xml:space="preserve">ADR0527</t>
  </si>
  <si>
    <t xml:space="preserve">ADR0528</t>
  </si>
  <si>
    <t xml:space="preserve">ADR0529</t>
  </si>
  <si>
    <t xml:space="preserve">ADR0530</t>
  </si>
  <si>
    <t xml:space="preserve">ADR0531</t>
  </si>
  <si>
    <t xml:space="preserve">ADR0532</t>
  </si>
  <si>
    <t xml:space="preserve">ADR0533</t>
  </si>
  <si>
    <t xml:space="preserve">ADR0534</t>
  </si>
  <si>
    <t xml:space="preserve">ADR0535</t>
  </si>
  <si>
    <t xml:space="preserve">ADR0536</t>
  </si>
  <si>
    <t xml:space="preserve">ADR0537</t>
  </si>
  <si>
    <t xml:space="preserve">ADR0538</t>
  </si>
  <si>
    <t xml:space="preserve">ADR0539</t>
  </si>
  <si>
    <t xml:space="preserve">ADR0540</t>
  </si>
  <si>
    <t xml:space="preserve">ADR0541</t>
  </si>
  <si>
    <t xml:space="preserve">ADR0542</t>
  </si>
  <si>
    <t xml:space="preserve">ADR0543</t>
  </si>
  <si>
    <t xml:space="preserve">ADR0544</t>
  </si>
  <si>
    <t xml:space="preserve">ADR0545</t>
  </si>
  <si>
    <t xml:space="preserve">ADR0546</t>
  </si>
  <si>
    <t xml:space="preserve">ADR0547</t>
  </si>
  <si>
    <t xml:space="preserve">ADR0548</t>
  </si>
  <si>
    <t xml:space="preserve">ADR0549</t>
  </si>
  <si>
    <t xml:space="preserve">ADR0550</t>
  </si>
  <si>
    <t xml:space="preserve">ADR0551</t>
  </si>
  <si>
    <t xml:space="preserve">ADR0552</t>
  </si>
  <si>
    <t xml:space="preserve">ADR0553</t>
  </si>
  <si>
    <t xml:space="preserve">ADR0554</t>
  </si>
  <si>
    <t xml:space="preserve">ADR0555</t>
  </si>
  <si>
    <t xml:space="preserve">ADR0556</t>
  </si>
  <si>
    <t xml:space="preserve">ADR0557</t>
  </si>
  <si>
    <t xml:space="preserve">ADR0558</t>
  </si>
  <si>
    <t xml:space="preserve">ADR0559</t>
  </si>
  <si>
    <t xml:space="preserve">ADR0560</t>
  </si>
  <si>
    <t xml:space="preserve">ADR0561</t>
  </si>
  <si>
    <t xml:space="preserve">ADR0562</t>
  </si>
  <si>
    <t xml:space="preserve">ADR0563</t>
  </si>
  <si>
    <t xml:space="preserve">ADR0564</t>
  </si>
  <si>
    <t xml:space="preserve">ADR0565</t>
  </si>
  <si>
    <t xml:space="preserve">ADR0566</t>
  </si>
  <si>
    <t xml:space="preserve">ADR0567</t>
  </si>
  <si>
    <t xml:space="preserve">ADR0568</t>
  </si>
  <si>
    <t xml:space="preserve">ADR0569</t>
  </si>
  <si>
    <t xml:space="preserve">ADR0570</t>
  </si>
  <si>
    <t xml:space="preserve">ADR0571</t>
  </si>
  <si>
    <t xml:space="preserve">ADR0572</t>
  </si>
  <si>
    <t xml:space="preserve">ADR0573</t>
  </si>
  <si>
    <t xml:space="preserve">ADR0574</t>
  </si>
  <si>
    <t xml:space="preserve">ADR0575</t>
  </si>
  <si>
    <t xml:space="preserve">ADR0576</t>
  </si>
  <si>
    <t xml:space="preserve">ADR0577</t>
  </si>
  <si>
    <t xml:space="preserve">ADR0578</t>
  </si>
  <si>
    <t xml:space="preserve">ADR0579</t>
  </si>
  <si>
    <t xml:space="preserve">Lithium</t>
  </si>
  <si>
    <t xml:space="preserve">ADR0580</t>
  </si>
  <si>
    <t xml:space="preserve">ADR0581</t>
  </si>
  <si>
    <t xml:space="preserve">ADR0582</t>
  </si>
  <si>
    <t xml:space="preserve">ADR0583</t>
  </si>
  <si>
    <t xml:space="preserve">ADR0584</t>
  </si>
  <si>
    <t xml:space="preserve">ADR0585</t>
  </si>
  <si>
    <t xml:space="preserve">ADR0586</t>
  </si>
  <si>
    <t xml:space="preserve">ADR0587</t>
  </si>
  <si>
    <t xml:space="preserve">ADR0588</t>
  </si>
  <si>
    <t xml:space="preserve">ADR0589</t>
  </si>
  <si>
    <t xml:space="preserve">ADR0590</t>
  </si>
  <si>
    <t xml:space="preserve">ADR0591</t>
  </si>
  <si>
    <t xml:space="preserve">ADR0592</t>
  </si>
  <si>
    <t xml:space="preserve">ADR0593</t>
  </si>
  <si>
    <t xml:space="preserve">ADR0594</t>
  </si>
  <si>
    <t xml:space="preserve">ADR0595</t>
  </si>
  <si>
    <t xml:space="preserve">ADR0596</t>
  </si>
  <si>
    <t xml:space="preserve">ADR0597</t>
  </si>
  <si>
    <t xml:space="preserve">ADR0598</t>
  </si>
  <si>
    <t xml:space="preserve">ADR0599</t>
  </si>
  <si>
    <t xml:space="preserve">ADR0600</t>
  </si>
  <si>
    <t xml:space="preserve">ADR0601</t>
  </si>
  <si>
    <t xml:space="preserve">ADR0602</t>
  </si>
  <si>
    <t xml:space="preserve">ADR0603</t>
  </si>
  <si>
    <t xml:space="preserve">ADR0604</t>
  </si>
  <si>
    <t xml:space="preserve">ADR0605</t>
  </si>
  <si>
    <t xml:space="preserve">ADR0606</t>
  </si>
  <si>
    <t xml:space="preserve">ADR0607</t>
  </si>
  <si>
    <t xml:space="preserve">ADR0608</t>
  </si>
  <si>
    <t xml:space="preserve">ADR0609</t>
  </si>
  <si>
    <t xml:space="preserve">ADR0610</t>
  </si>
  <si>
    <t xml:space="preserve">ADR0611</t>
  </si>
  <si>
    <t xml:space="preserve">ADR0612</t>
  </si>
  <si>
    <t xml:space="preserve">ADR0613</t>
  </si>
  <si>
    <t xml:space="preserve">ADR0614</t>
  </si>
  <si>
    <t xml:space="preserve">ADR0615</t>
  </si>
  <si>
    <t xml:space="preserve">ADR0616</t>
  </si>
  <si>
    <t xml:space="preserve">ADR0617</t>
  </si>
  <si>
    <t xml:space="preserve">ADR0618</t>
  </si>
  <si>
    <t xml:space="preserve">ADR0619</t>
  </si>
  <si>
    <t xml:space="preserve">ADR0620</t>
  </si>
  <si>
    <t xml:space="preserve">ADR0621</t>
  </si>
  <si>
    <t xml:space="preserve">ADR0622</t>
  </si>
  <si>
    <t xml:space="preserve">ADR0623</t>
  </si>
  <si>
    <t xml:space="preserve">ADR0624</t>
  </si>
  <si>
    <t xml:space="preserve">ADR0625</t>
  </si>
  <si>
    <t xml:space="preserve">ADR0626</t>
  </si>
  <si>
    <t xml:space="preserve">ADR0627</t>
  </si>
  <si>
    <t xml:space="preserve">ADR0628</t>
  </si>
  <si>
    <t xml:space="preserve">ADR0629</t>
  </si>
  <si>
    <t xml:space="preserve">ADR0630</t>
  </si>
  <si>
    <t xml:space="preserve">ADR0631</t>
  </si>
  <si>
    <t xml:space="preserve">ADR0632</t>
  </si>
  <si>
    <t xml:space="preserve">ADR0633</t>
  </si>
  <si>
    <t xml:space="preserve">ADR0634</t>
  </si>
  <si>
    <t xml:space="preserve">ADR0635</t>
  </si>
  <si>
    <t xml:space="preserve">ADR0636</t>
  </si>
  <si>
    <t xml:space="preserve">ADR0637</t>
  </si>
  <si>
    <t xml:space="preserve">ADR0638</t>
  </si>
  <si>
    <t xml:space="preserve">ADR0639</t>
  </si>
  <si>
    <t xml:space="preserve">ADR0640</t>
  </si>
  <si>
    <t xml:space="preserve">ADR0641</t>
  </si>
  <si>
    <t xml:space="preserve">ADR0642</t>
  </si>
  <si>
    <t xml:space="preserve">ADR0643</t>
  </si>
  <si>
    <t xml:space="preserve">ADR0644</t>
  </si>
  <si>
    <t xml:space="preserve">ADR0645</t>
  </si>
  <si>
    <t xml:space="preserve">ADR0646</t>
  </si>
  <si>
    <t xml:space="preserve">ADR0647</t>
  </si>
  <si>
    <t xml:space="preserve">ADR0648</t>
  </si>
  <si>
    <t xml:space="preserve">ADR0649</t>
  </si>
  <si>
    <t xml:space="preserve">ADR0650</t>
  </si>
  <si>
    <t xml:space="preserve">ADR0651</t>
  </si>
  <si>
    <t xml:space="preserve">ADR0652</t>
  </si>
  <si>
    <t xml:space="preserve">ADR0653</t>
  </si>
  <si>
    <t xml:space="preserve">ADR0654</t>
  </si>
  <si>
    <t xml:space="preserve">ADR0655</t>
  </si>
  <si>
    <t xml:space="preserve">ADR0656</t>
  </si>
  <si>
    <t xml:space="preserve">ADR0657</t>
  </si>
  <si>
    <t xml:space="preserve">ADR0658</t>
  </si>
  <si>
    <t xml:space="preserve">ADR0659</t>
  </si>
  <si>
    <t xml:space="preserve">ADR0660</t>
  </si>
  <si>
    <t xml:space="preserve">ADR0661</t>
  </si>
  <si>
    <t xml:space="preserve">ADR0662</t>
  </si>
  <si>
    <t xml:space="preserve">ADR0663</t>
  </si>
  <si>
    <t xml:space="preserve">ADR0664</t>
  </si>
  <si>
    <t xml:space="preserve">ADR0665</t>
  </si>
  <si>
    <t xml:space="preserve">ADR0666</t>
  </si>
  <si>
    <t xml:space="preserve">ADR0667</t>
  </si>
  <si>
    <t xml:space="preserve">ADR0668</t>
  </si>
  <si>
    <t xml:space="preserve">ADR0669</t>
  </si>
  <si>
    <t xml:space="preserve">ADR0670</t>
  </si>
  <si>
    <t xml:space="preserve">ADR0671</t>
  </si>
  <si>
    <t xml:space="preserve">ADR0672</t>
  </si>
  <si>
    <t xml:space="preserve">ADR0673</t>
  </si>
  <si>
    <t xml:space="preserve">ADR0674</t>
  </si>
  <si>
    <t xml:space="preserve">ADR0675</t>
  </si>
  <si>
    <t xml:space="preserve">ADR0676</t>
  </si>
  <si>
    <t xml:space="preserve">ADR0677</t>
  </si>
  <si>
    <t xml:space="preserve">ADR0678</t>
  </si>
  <si>
    <t xml:space="preserve">ADR0679</t>
  </si>
  <si>
    <t xml:space="preserve">ADR0680</t>
  </si>
  <si>
    <t xml:space="preserve">ADR0681</t>
  </si>
  <si>
    <t xml:space="preserve">ADR0682</t>
  </si>
  <si>
    <t xml:space="preserve">ADR0683</t>
  </si>
  <si>
    <t xml:space="preserve">ADR0684</t>
  </si>
  <si>
    <t xml:space="preserve">ADR0685</t>
  </si>
  <si>
    <t xml:space="preserve">ADR0686</t>
  </si>
  <si>
    <t xml:space="preserve">ADR0687</t>
  </si>
  <si>
    <t xml:space="preserve">ADR0688</t>
  </si>
  <si>
    <t xml:space="preserve">ADR0689</t>
  </si>
  <si>
    <t xml:space="preserve">ADR0690</t>
  </si>
  <si>
    <t xml:space="preserve">ADR0691</t>
  </si>
  <si>
    <t xml:space="preserve">ADR0692</t>
  </si>
  <si>
    <t xml:space="preserve">ADR0693</t>
  </si>
  <si>
    <t xml:space="preserve">ADR0694</t>
  </si>
  <si>
    <t xml:space="preserve">ADR0695</t>
  </si>
  <si>
    <t xml:space="preserve">ADR0696</t>
  </si>
  <si>
    <t xml:space="preserve">ADR0697</t>
  </si>
  <si>
    <t xml:space="preserve">ADR0698</t>
  </si>
  <si>
    <t xml:space="preserve">ADR0699</t>
  </si>
  <si>
    <t xml:space="preserve">ADR0700</t>
  </si>
  <si>
    <t xml:space="preserve">ADR0701</t>
  </si>
  <si>
    <t xml:space="preserve">ADR0702</t>
  </si>
  <si>
    <t xml:space="preserve">ADR0703</t>
  </si>
  <si>
    <t xml:space="preserve">ADR0704</t>
  </si>
  <si>
    <t xml:space="preserve">ADR0705</t>
  </si>
  <si>
    <t xml:space="preserve">ADR0706</t>
  </si>
  <si>
    <t xml:space="preserve">ADR0707</t>
  </si>
  <si>
    <t xml:space="preserve">ADR0708</t>
  </si>
  <si>
    <t xml:space="preserve">ADR0709</t>
  </si>
  <si>
    <t xml:space="preserve">ADR0710</t>
  </si>
  <si>
    <t xml:space="preserve">ADR0711</t>
  </si>
  <si>
    <t xml:space="preserve">ADR0712</t>
  </si>
  <si>
    <t xml:space="preserve">ADR0713</t>
  </si>
  <si>
    <t xml:space="preserve">ADR0714</t>
  </si>
  <si>
    <t xml:space="preserve">ADR0715</t>
  </si>
  <si>
    <t xml:space="preserve">ADR0716</t>
  </si>
  <si>
    <t xml:space="preserve">ADR0717</t>
  </si>
  <si>
    <t xml:space="preserve">ADR0718</t>
  </si>
  <si>
    <t xml:space="preserve">ADR0719</t>
  </si>
  <si>
    <t xml:space="preserve">ADR0720</t>
  </si>
  <si>
    <t xml:space="preserve">ADR0721</t>
  </si>
  <si>
    <t xml:space="preserve">ADR0722</t>
  </si>
  <si>
    <t xml:space="preserve">ADR0723</t>
  </si>
  <si>
    <t xml:space="preserve">ADR0724</t>
  </si>
  <si>
    <t xml:space="preserve">ADR0725</t>
  </si>
  <si>
    <t xml:space="preserve">ADR0726</t>
  </si>
  <si>
    <t xml:space="preserve">ADR0727</t>
  </si>
  <si>
    <t xml:space="preserve">ADR0728</t>
  </si>
  <si>
    <t xml:space="preserve">ADR0729</t>
  </si>
  <si>
    <t xml:space="preserve">ADR0730</t>
  </si>
  <si>
    <t xml:space="preserve">ADR0731</t>
  </si>
  <si>
    <t xml:space="preserve">ADR0732</t>
  </si>
  <si>
    <t xml:space="preserve">ADR0733</t>
  </si>
  <si>
    <t xml:space="preserve">ADR0734</t>
  </si>
  <si>
    <t xml:space="preserve">ADR0735</t>
  </si>
  <si>
    <t xml:space="preserve">ADR0736</t>
  </si>
  <si>
    <t xml:space="preserve">ADR0737</t>
  </si>
  <si>
    <t xml:space="preserve">ADR0738</t>
  </si>
  <si>
    <t xml:space="preserve">ADR0739</t>
  </si>
  <si>
    <t xml:space="preserve">ADR0740</t>
  </si>
  <si>
    <t xml:space="preserve">ADR0741</t>
  </si>
  <si>
    <t xml:space="preserve">ADR0742</t>
  </si>
  <si>
    <t xml:space="preserve">ADR0743</t>
  </si>
  <si>
    <t xml:space="preserve">ADR0744</t>
  </si>
  <si>
    <t xml:space="preserve">ADR0745</t>
  </si>
  <si>
    <t xml:space="preserve">ADR0746</t>
  </si>
  <si>
    <t xml:space="preserve">ADR0747</t>
  </si>
  <si>
    <t xml:space="preserve">ADR0748</t>
  </si>
  <si>
    <t xml:space="preserve">ADR0749</t>
  </si>
  <si>
    <t xml:space="preserve">ADR0750</t>
  </si>
  <si>
    <t xml:space="preserve">ADR0751</t>
  </si>
  <si>
    <t xml:space="preserve">ADR0752</t>
  </si>
  <si>
    <t xml:space="preserve">ADR0753</t>
  </si>
  <si>
    <t xml:space="preserve">ADR0754</t>
  </si>
  <si>
    <t xml:space="preserve">ADR0755</t>
  </si>
  <si>
    <t xml:space="preserve">ADR0756</t>
  </si>
  <si>
    <t xml:space="preserve">ADR0757</t>
  </si>
  <si>
    <t xml:space="preserve">ADR0758</t>
  </si>
  <si>
    <t xml:space="preserve">ADR0759</t>
  </si>
  <si>
    <t xml:space="preserve">ADR0760</t>
  </si>
  <si>
    <t xml:space="preserve">ADR0761</t>
  </si>
  <si>
    <t xml:space="preserve">ADR0762</t>
  </si>
  <si>
    <t xml:space="preserve">ADR0763</t>
  </si>
  <si>
    <t xml:space="preserve">ADR0764</t>
  </si>
  <si>
    <t xml:space="preserve">ADR0765</t>
  </si>
  <si>
    <t xml:space="preserve">ADR0766</t>
  </si>
  <si>
    <t xml:space="preserve">ADR0767</t>
  </si>
  <si>
    <t xml:space="preserve">ADR0768</t>
  </si>
  <si>
    <t xml:space="preserve">ADR0769</t>
  </si>
  <si>
    <t xml:space="preserve">ADR0770</t>
  </si>
  <si>
    <t xml:space="preserve">ADR0771</t>
  </si>
  <si>
    <t xml:space="preserve">ADR0772</t>
  </si>
  <si>
    <t xml:space="preserve">ADR0773</t>
  </si>
  <si>
    <t xml:space="preserve">ADR0774</t>
  </si>
  <si>
    <t xml:space="preserve">ADR0775</t>
  </si>
  <si>
    <t xml:space="preserve">ADR0776</t>
  </si>
  <si>
    <t xml:space="preserve">ADR0777</t>
  </si>
  <si>
    <t xml:space="preserve">ADR0778</t>
  </si>
  <si>
    <t xml:space="preserve">ADR0779</t>
  </si>
  <si>
    <t xml:space="preserve">ADR0780</t>
  </si>
  <si>
    <t xml:space="preserve">ADR0781</t>
  </si>
  <si>
    <t xml:space="preserve">ADR0782</t>
  </si>
  <si>
    <t xml:space="preserve">ADR0783</t>
  </si>
  <si>
    <t xml:space="preserve">ADR0784</t>
  </si>
  <si>
    <t xml:space="preserve">ADR0785</t>
  </si>
  <si>
    <t xml:space="preserve">ADR0786</t>
  </si>
  <si>
    <t xml:space="preserve">ADR0787</t>
  </si>
  <si>
    <t xml:space="preserve">ADR0788</t>
  </si>
  <si>
    <t xml:space="preserve">ADR0789</t>
  </si>
  <si>
    <t xml:space="preserve">ADR0790</t>
  </si>
  <si>
    <t xml:space="preserve">ADR0791</t>
  </si>
  <si>
    <t xml:space="preserve">ADR0792</t>
  </si>
  <si>
    <t xml:space="preserve">ADR0793</t>
  </si>
  <si>
    <t xml:space="preserve">ADR0794</t>
  </si>
  <si>
    <t xml:space="preserve">ADR0795</t>
  </si>
  <si>
    <t xml:space="preserve">ADR0796</t>
  </si>
  <si>
    <t xml:space="preserve">ADR0797</t>
  </si>
  <si>
    <t xml:space="preserve">ADR0798</t>
  </si>
  <si>
    <t xml:space="preserve">ADR0799</t>
  </si>
  <si>
    <t xml:space="preserve">ADR0800</t>
  </si>
  <si>
    <t xml:space="preserve">ADR0801</t>
  </si>
  <si>
    <t xml:space="preserve">ADR0802</t>
  </si>
  <si>
    <t xml:space="preserve">ADR0803</t>
  </si>
  <si>
    <t xml:space="preserve">ADR0804</t>
  </si>
  <si>
    <t xml:space="preserve">ADR0805</t>
  </si>
  <si>
    <t xml:space="preserve">ADR0806</t>
  </si>
  <si>
    <t xml:space="preserve">ADR0807</t>
  </si>
  <si>
    <t xml:space="preserve">ADR0808</t>
  </si>
  <si>
    <t xml:space="preserve">ADR0809</t>
  </si>
  <si>
    <t xml:space="preserve">ADR0810</t>
  </si>
  <si>
    <t xml:space="preserve">ADR0811</t>
  </si>
  <si>
    <t xml:space="preserve">ADR0812</t>
  </si>
  <si>
    <t xml:space="preserve">ADR0813</t>
  </si>
  <si>
    <t xml:space="preserve">ADR0814</t>
  </si>
  <si>
    <t xml:space="preserve">ADR0815</t>
  </si>
  <si>
    <t xml:space="preserve">ADR0816</t>
  </si>
  <si>
    <t xml:space="preserve">ADR0817</t>
  </si>
  <si>
    <t xml:space="preserve">ADR0818</t>
  </si>
  <si>
    <t xml:space="preserve">ADR0819</t>
  </si>
  <si>
    <t xml:space="preserve">ADR0820</t>
  </si>
  <si>
    <t xml:space="preserve">ADR0821</t>
  </si>
  <si>
    <t xml:space="preserve">ADR0822</t>
  </si>
  <si>
    <t xml:space="preserve">ADR0823</t>
  </si>
  <si>
    <t xml:space="preserve">ADR0824</t>
  </si>
  <si>
    <t xml:space="preserve">ADR0825</t>
  </si>
  <si>
    <t xml:space="preserve">ADR0826</t>
  </si>
  <si>
    <t xml:space="preserve">ADR0827</t>
  </si>
  <si>
    <t xml:space="preserve">ADR0828</t>
  </si>
  <si>
    <t xml:space="preserve">ADR0829</t>
  </si>
  <si>
    <t xml:space="preserve">ADR0830</t>
  </si>
  <si>
    <t xml:space="preserve">ADR0831</t>
  </si>
  <si>
    <t xml:space="preserve">ADR0832</t>
  </si>
  <si>
    <t xml:space="preserve">ADR0833</t>
  </si>
  <si>
    <t xml:space="preserve">ADR0834</t>
  </si>
  <si>
    <t xml:space="preserve">ADR0835</t>
  </si>
  <si>
    <t xml:space="preserve">ADR0836</t>
  </si>
  <si>
    <t xml:space="preserve">ADR0837</t>
  </si>
  <si>
    <t xml:space="preserve">ADR0838</t>
  </si>
  <si>
    <t xml:space="preserve">ADR0839</t>
  </si>
  <si>
    <t xml:space="preserve">ADR0840</t>
  </si>
  <si>
    <t xml:space="preserve">ADR0841</t>
  </si>
  <si>
    <t xml:space="preserve">ADR0842</t>
  </si>
  <si>
    <t xml:space="preserve">ADR0843</t>
  </si>
  <si>
    <t xml:space="preserve">ADR0844</t>
  </si>
  <si>
    <t xml:space="preserve">ADR0845</t>
  </si>
  <si>
    <t xml:space="preserve">ADR0846</t>
  </si>
  <si>
    <t xml:space="preserve">ADR0847</t>
  </si>
  <si>
    <t xml:space="preserve">ADR0848</t>
  </si>
  <si>
    <t xml:space="preserve">ADR0849</t>
  </si>
  <si>
    <t xml:space="preserve">ADR0850</t>
  </si>
  <si>
    <t xml:space="preserve">ADR0851</t>
  </si>
  <si>
    <t xml:space="preserve">ADR0852</t>
  </si>
  <si>
    <t xml:space="preserve">ADR0853</t>
  </si>
  <si>
    <t xml:space="preserve">ADR0854</t>
  </si>
  <si>
    <t xml:space="preserve">ADR0855</t>
  </si>
  <si>
    <t xml:space="preserve">ADR0856</t>
  </si>
  <si>
    <t xml:space="preserve">ADR0857</t>
  </si>
  <si>
    <t xml:space="preserve">ADR0858</t>
  </si>
  <si>
    <t xml:space="preserve">ADR0859</t>
  </si>
  <si>
    <t xml:space="preserve">ADR0860</t>
  </si>
  <si>
    <t xml:space="preserve">ADR0861</t>
  </si>
  <si>
    <t xml:space="preserve">ADR0862</t>
  </si>
  <si>
    <t xml:space="preserve">ADR0863</t>
  </si>
  <si>
    <t xml:space="preserve">ADR0864</t>
  </si>
  <si>
    <t xml:space="preserve">ADR0865</t>
  </si>
  <si>
    <t xml:space="preserve">ADR0866</t>
  </si>
  <si>
    <t xml:space="preserve">ADR0867</t>
  </si>
  <si>
    <t xml:space="preserve">ADR0868</t>
  </si>
  <si>
    <t xml:space="preserve">ADR0869</t>
  </si>
  <si>
    <t xml:space="preserve">ADR0870</t>
  </si>
  <si>
    <t xml:space="preserve">ADR0871</t>
  </si>
  <si>
    <t xml:space="preserve">ADR0872</t>
  </si>
  <si>
    <t xml:space="preserve">ADR0873</t>
  </si>
  <si>
    <t xml:space="preserve">ADR0874</t>
  </si>
  <si>
    <t xml:space="preserve">ADR0875</t>
  </si>
  <si>
    <t xml:space="preserve">ADR0876</t>
  </si>
  <si>
    <t xml:space="preserve">ADR0877</t>
  </si>
  <si>
    <t xml:space="preserve">ADR0878</t>
  </si>
  <si>
    <t xml:space="preserve">ADR0879</t>
  </si>
  <si>
    <t xml:space="preserve">ADR0880</t>
  </si>
  <si>
    <t xml:space="preserve">ADR0881</t>
  </si>
  <si>
    <t xml:space="preserve">ADR0882</t>
  </si>
  <si>
    <t xml:space="preserve">ADR0883</t>
  </si>
  <si>
    <t xml:space="preserve">ADR0884</t>
  </si>
  <si>
    <t xml:space="preserve">ADR0885</t>
  </si>
  <si>
    <t xml:space="preserve">ADR0886</t>
  </si>
  <si>
    <t xml:space="preserve">ADR0887</t>
  </si>
  <si>
    <t xml:space="preserve">ADR0888</t>
  </si>
  <si>
    <t xml:space="preserve">ADR0889</t>
  </si>
  <si>
    <t xml:space="preserve">ADR0890</t>
  </si>
  <si>
    <t xml:space="preserve">ADR0891</t>
  </si>
  <si>
    <t xml:space="preserve">ADR0892</t>
  </si>
  <si>
    <t xml:space="preserve">ADR0893</t>
  </si>
  <si>
    <t xml:space="preserve">ADR0894</t>
  </si>
  <si>
    <t xml:space="preserve">ADR0895</t>
  </si>
  <si>
    <t xml:space="preserve">ADR0896</t>
  </si>
  <si>
    <t xml:space="preserve">ADR0897</t>
  </si>
  <si>
    <t xml:space="preserve">ADR0898</t>
  </si>
  <si>
    <t xml:space="preserve">ADR0899</t>
  </si>
  <si>
    <t xml:space="preserve">ADR0900</t>
  </si>
  <si>
    <t xml:space="preserve">ADR0901</t>
  </si>
  <si>
    <t xml:space="preserve">ADR0902</t>
  </si>
  <si>
    <t xml:space="preserve">ADR0903</t>
  </si>
  <si>
    <t xml:space="preserve">ADR0904</t>
  </si>
  <si>
    <t xml:space="preserve">ADR0905</t>
  </si>
  <si>
    <t xml:space="preserve">ADR0906</t>
  </si>
  <si>
    <t xml:space="preserve">ADR0907</t>
  </si>
  <si>
    <t xml:space="preserve">ADR0908</t>
  </si>
  <si>
    <t xml:space="preserve">ADR0909</t>
  </si>
  <si>
    <t xml:space="preserve">ADR0910</t>
  </si>
  <si>
    <t xml:space="preserve">ADR0911</t>
  </si>
  <si>
    <t xml:space="preserve">ADR0912</t>
  </si>
  <si>
    <t xml:space="preserve">ADR0913</t>
  </si>
  <si>
    <t xml:space="preserve">ADR0914</t>
  </si>
  <si>
    <t xml:space="preserve">ADR0915</t>
  </si>
  <si>
    <t xml:space="preserve">ADR0916</t>
  </si>
  <si>
    <t xml:space="preserve">ADR0917</t>
  </si>
  <si>
    <t xml:space="preserve">ADR0918</t>
  </si>
  <si>
    <t xml:space="preserve">ADR0919</t>
  </si>
  <si>
    <t xml:space="preserve">ADR0920</t>
  </si>
  <si>
    <t xml:space="preserve">ADR0921</t>
  </si>
  <si>
    <t xml:space="preserve">ADR0922</t>
  </si>
  <si>
    <t xml:space="preserve">ADR0923</t>
  </si>
  <si>
    <t xml:space="preserve">ADR0924</t>
  </si>
  <si>
    <t xml:space="preserve">ADR0925</t>
  </si>
  <si>
    <t xml:space="preserve">ADR0926</t>
  </si>
  <si>
    <t xml:space="preserve">ADR0927</t>
  </si>
  <si>
    <t xml:space="preserve">ADR0928</t>
  </si>
  <si>
    <t xml:space="preserve">ADR0929</t>
  </si>
  <si>
    <t xml:space="preserve">ADR0930</t>
  </si>
  <si>
    <t xml:space="preserve">ADR0931</t>
  </si>
  <si>
    <t xml:space="preserve">ADR0932</t>
  </si>
  <si>
    <t xml:space="preserve">ADR0933</t>
  </si>
  <si>
    <t xml:space="preserve">ADR0934</t>
  </si>
  <si>
    <t xml:space="preserve">ADR0935</t>
  </si>
  <si>
    <t xml:space="preserve">ADR0936</t>
  </si>
  <si>
    <t xml:space="preserve">ADR0937</t>
  </si>
  <si>
    <t xml:space="preserve">ADR0938</t>
  </si>
  <si>
    <t xml:space="preserve">ADR0939</t>
  </si>
  <si>
    <t xml:space="preserve">ADR0940</t>
  </si>
  <si>
    <t xml:space="preserve">ADR0941</t>
  </si>
  <si>
    <t xml:space="preserve">ADR0942</t>
  </si>
  <si>
    <t xml:space="preserve">ADR0943</t>
  </si>
  <si>
    <t xml:space="preserve">ADR0944</t>
  </si>
  <si>
    <t xml:space="preserve">ADR0945</t>
  </si>
  <si>
    <t xml:space="preserve">ADR0946</t>
  </si>
  <si>
    <t xml:space="preserve">ADR0947</t>
  </si>
  <si>
    <t xml:space="preserve">ADR0948</t>
  </si>
  <si>
    <t xml:space="preserve">ADR0949</t>
  </si>
  <si>
    <t xml:space="preserve">ADR0950</t>
  </si>
  <si>
    <t xml:space="preserve">ADR0951</t>
  </si>
  <si>
    <t xml:space="preserve">ADR0952</t>
  </si>
  <si>
    <t xml:space="preserve">ADR0953</t>
  </si>
  <si>
    <t xml:space="preserve">ADR0954</t>
  </si>
  <si>
    <t xml:space="preserve">ADR0955</t>
  </si>
  <si>
    <t xml:space="preserve">ADR0956</t>
  </si>
  <si>
    <t xml:space="preserve">ADR0957</t>
  </si>
  <si>
    <t xml:space="preserve">ADR0958</t>
  </si>
  <si>
    <t xml:space="preserve">ADR0959</t>
  </si>
  <si>
    <t xml:space="preserve">ADR0960</t>
  </si>
  <si>
    <t xml:space="preserve">ADR0961</t>
  </si>
  <si>
    <t xml:space="preserve">ADR0962</t>
  </si>
  <si>
    <t xml:space="preserve">ADR0963</t>
  </si>
  <si>
    <t xml:space="preserve">ADR0964</t>
  </si>
  <si>
    <t xml:space="preserve">ADR0965</t>
  </si>
  <si>
    <t xml:space="preserve">ADR0966</t>
  </si>
  <si>
    <t xml:space="preserve">ADR0967</t>
  </si>
  <si>
    <t xml:space="preserve">ADR0968</t>
  </si>
  <si>
    <t xml:space="preserve">ADR0969</t>
  </si>
  <si>
    <t xml:space="preserve">ADR0970</t>
  </si>
  <si>
    <t xml:space="preserve">ADR0971</t>
  </si>
  <si>
    <t xml:space="preserve">ADR0972</t>
  </si>
  <si>
    <t xml:space="preserve">ADR0973</t>
  </si>
  <si>
    <t xml:space="preserve">ADR0974</t>
  </si>
  <si>
    <t xml:space="preserve">ADR0975</t>
  </si>
  <si>
    <t xml:space="preserve">ADR0976</t>
  </si>
  <si>
    <t xml:space="preserve">ADR0977</t>
  </si>
  <si>
    <t xml:space="preserve">ADR0978</t>
  </si>
  <si>
    <t xml:space="preserve">ADR0979</t>
  </si>
  <si>
    <t xml:space="preserve">ADR0980</t>
  </si>
  <si>
    <t xml:space="preserve">ADR0981</t>
  </si>
  <si>
    <t xml:space="preserve">ADR0982</t>
  </si>
  <si>
    <t xml:space="preserve">ADR0983</t>
  </si>
  <si>
    <t xml:space="preserve">ADR0984</t>
  </si>
  <si>
    <t xml:space="preserve">ADR0985</t>
  </si>
  <si>
    <t xml:space="preserve">ADR0986</t>
  </si>
  <si>
    <t xml:space="preserve">ADR0987</t>
  </si>
  <si>
    <t xml:space="preserve">ADR0988</t>
  </si>
  <si>
    <t xml:space="preserve">ADR0989</t>
  </si>
  <si>
    <t xml:space="preserve">ADR0990</t>
  </si>
  <si>
    <t xml:space="preserve">ADR0991</t>
  </si>
  <si>
    <t xml:space="preserve">ADR0992</t>
  </si>
  <si>
    <t xml:space="preserve">ADR0993</t>
  </si>
  <si>
    <t xml:space="preserve">ADR0994</t>
  </si>
  <si>
    <t xml:space="preserve">ADR0995</t>
  </si>
  <si>
    <t xml:space="preserve">ADR0996</t>
  </si>
  <si>
    <t xml:space="preserve">ADR0997</t>
  </si>
  <si>
    <t xml:space="preserve">ADR0998</t>
  </si>
  <si>
    <t xml:space="preserve">ADR0999</t>
  </si>
  <si>
    <t xml:space="preserve">ADR1000</t>
  </si>
  <si>
    <t xml:space="preserve">ADR1001</t>
  </si>
  <si>
    <t xml:space="preserve">ADR1002</t>
  </si>
  <si>
    <t xml:space="preserve">ADR1003</t>
  </si>
  <si>
    <t xml:space="preserve">ADR1004</t>
  </si>
  <si>
    <t xml:space="preserve">ADR1005</t>
  </si>
  <si>
    <t xml:space="preserve">ADR1006</t>
  </si>
  <si>
    <t xml:space="preserve">ADR1007</t>
  </si>
  <si>
    <t xml:space="preserve">ADR1008</t>
  </si>
  <si>
    <t xml:space="preserve">ADR1009</t>
  </si>
  <si>
    <t xml:space="preserve">ADR1010</t>
  </si>
  <si>
    <t xml:space="preserve">ADR1011</t>
  </si>
  <si>
    <t xml:space="preserve">ADR1012</t>
  </si>
  <si>
    <t xml:space="preserve">ADR1013</t>
  </si>
  <si>
    <t xml:space="preserve">ADR1014</t>
  </si>
  <si>
    <t xml:space="preserve">ADR1015</t>
  </si>
  <si>
    <t xml:space="preserve">ADR1016</t>
  </si>
  <si>
    <t xml:space="preserve">ADR1017</t>
  </si>
  <si>
    <t xml:space="preserve">ADR1018</t>
  </si>
  <si>
    <t xml:space="preserve">ADR1019</t>
  </si>
  <si>
    <t xml:space="preserve">ADR1020</t>
  </si>
  <si>
    <t xml:space="preserve">ADR1021</t>
  </si>
  <si>
    <t xml:space="preserve">ADR1022</t>
  </si>
  <si>
    <t xml:space="preserve">ADR1023</t>
  </si>
  <si>
    <t xml:space="preserve">ADR1024</t>
  </si>
  <si>
    <t xml:space="preserve">ADR1025</t>
  </si>
  <si>
    <t xml:space="preserve">ADR1026</t>
  </si>
  <si>
    <t xml:space="preserve">ADR1027</t>
  </si>
  <si>
    <t xml:space="preserve">ADR1028</t>
  </si>
  <si>
    <t xml:space="preserve">ADR1029</t>
  </si>
  <si>
    <t xml:space="preserve">ADR1030</t>
  </si>
  <si>
    <t xml:space="preserve">ADR1031</t>
  </si>
  <si>
    <t xml:space="preserve">ADR1032</t>
  </si>
  <si>
    <t xml:space="preserve">ADR1033</t>
  </si>
  <si>
    <t xml:space="preserve">ADR1034</t>
  </si>
  <si>
    <t xml:space="preserve">ADR1035</t>
  </si>
  <si>
    <t xml:space="preserve">ADR1036</t>
  </si>
  <si>
    <t xml:space="preserve">ADR1037</t>
  </si>
  <si>
    <t xml:space="preserve">ADR1038</t>
  </si>
  <si>
    <t xml:space="preserve">ADR1039</t>
  </si>
  <si>
    <t xml:space="preserve">ADR1040</t>
  </si>
  <si>
    <t xml:space="preserve">ADR1041</t>
  </si>
  <si>
    <t xml:space="preserve">ADR1042</t>
  </si>
  <si>
    <t xml:space="preserve">ADR1043</t>
  </si>
  <si>
    <t xml:space="preserve">ADR1044</t>
  </si>
  <si>
    <t xml:space="preserve">ADR1045</t>
  </si>
  <si>
    <t xml:space="preserve">ADR1046</t>
  </si>
  <si>
    <t xml:space="preserve">ADR1047</t>
  </si>
  <si>
    <t xml:space="preserve">ADR1048</t>
  </si>
  <si>
    <t xml:space="preserve">ADR1049</t>
  </si>
  <si>
    <t xml:space="preserve">ADR1050</t>
  </si>
  <si>
    <t xml:space="preserve">ADR1051</t>
  </si>
  <si>
    <t xml:space="preserve">ADR1052</t>
  </si>
  <si>
    <t xml:space="preserve">ADR1053</t>
  </si>
  <si>
    <t xml:space="preserve">ADR1054</t>
  </si>
  <si>
    <t xml:space="preserve">ADR1055</t>
  </si>
  <si>
    <t xml:space="preserve">ADR1056</t>
  </si>
  <si>
    <t xml:space="preserve">ADR1057</t>
  </si>
  <si>
    <t xml:space="preserve">ADR1058</t>
  </si>
  <si>
    <t xml:space="preserve">ADR1059</t>
  </si>
  <si>
    <t xml:space="preserve">ADR1060</t>
  </si>
  <si>
    <t xml:space="preserve">ADR1061</t>
  </si>
  <si>
    <t xml:space="preserve">ADR1062</t>
  </si>
  <si>
    <t xml:space="preserve">ADR1063</t>
  </si>
  <si>
    <t xml:space="preserve">ADR1064</t>
  </si>
  <si>
    <t xml:space="preserve">ADR1065</t>
  </si>
  <si>
    <t xml:space="preserve">ADR1066</t>
  </si>
  <si>
    <t xml:space="preserve">ADR1067</t>
  </si>
  <si>
    <t xml:space="preserve">ADR1068</t>
  </si>
  <si>
    <t xml:space="preserve">ADR1069</t>
  </si>
  <si>
    <t xml:space="preserve">ADR1070</t>
  </si>
  <si>
    <t xml:space="preserve">ADR1071</t>
  </si>
  <si>
    <t xml:space="preserve">ADR1072</t>
  </si>
  <si>
    <t xml:space="preserve">ADR1073</t>
  </si>
  <si>
    <t xml:space="preserve">ADR1074</t>
  </si>
  <si>
    <t xml:space="preserve">ADR1075</t>
  </si>
  <si>
    <t xml:space="preserve">ADR1076</t>
  </si>
  <si>
    <t xml:space="preserve">ADR1077</t>
  </si>
  <si>
    <t xml:space="preserve">ADR1078</t>
  </si>
  <si>
    <t xml:space="preserve">ADR1079</t>
  </si>
  <si>
    <t xml:space="preserve">ADR1080</t>
  </si>
  <si>
    <t xml:space="preserve">ADR1081</t>
  </si>
  <si>
    <t xml:space="preserve">ADR1082</t>
  </si>
  <si>
    <t xml:space="preserve">ADR1083</t>
  </si>
  <si>
    <t xml:space="preserve">ADR1084</t>
  </si>
  <si>
    <t xml:space="preserve">ADR1085</t>
  </si>
  <si>
    <t xml:space="preserve">ADR1086</t>
  </si>
  <si>
    <t xml:space="preserve">ADR1087</t>
  </si>
  <si>
    <t xml:space="preserve">ADR1088</t>
  </si>
  <si>
    <t xml:space="preserve">ADR1089</t>
  </si>
  <si>
    <t xml:space="preserve">ADR1090</t>
  </si>
  <si>
    <t xml:space="preserve">ADR1091</t>
  </si>
  <si>
    <t xml:space="preserve">ADR1092</t>
  </si>
  <si>
    <t xml:space="preserve">ADR1093</t>
  </si>
  <si>
    <t xml:space="preserve">ADR1094</t>
  </si>
  <si>
    <t xml:space="preserve">ADR1095</t>
  </si>
  <si>
    <t xml:space="preserve">ADR1096</t>
  </si>
  <si>
    <t xml:space="preserve">ADR1097</t>
  </si>
  <si>
    <t xml:space="preserve">ADR1098</t>
  </si>
  <si>
    <t xml:space="preserve">ADR1099</t>
  </si>
  <si>
    <t xml:space="preserve">ADR1100</t>
  </si>
  <si>
    <t xml:space="preserve">ADR1101</t>
  </si>
  <si>
    <t xml:space="preserve">ADR1102</t>
  </si>
  <si>
    <t xml:space="preserve">ADR1103</t>
  </si>
  <si>
    <t xml:space="preserve">ADR1104</t>
  </si>
  <si>
    <t xml:space="preserve">ADR1105</t>
  </si>
  <si>
    <t xml:space="preserve">ADR1106</t>
  </si>
  <si>
    <t xml:space="preserve">ADR1107</t>
  </si>
  <si>
    <t xml:space="preserve">ADR1108</t>
  </si>
  <si>
    <t xml:space="preserve">ADR1109</t>
  </si>
  <si>
    <t xml:space="preserve">ADR1110</t>
  </si>
  <si>
    <t xml:space="preserve">ADR1111</t>
  </si>
  <si>
    <t xml:space="preserve">ADR1112</t>
  </si>
  <si>
    <t xml:space="preserve">ADR1113</t>
  </si>
  <si>
    <t xml:space="preserve">ADR1114</t>
  </si>
  <si>
    <t xml:space="preserve">ADR1115</t>
  </si>
  <si>
    <t xml:space="preserve">ADR1116</t>
  </si>
  <si>
    <t xml:space="preserve">ADR1117</t>
  </si>
  <si>
    <t xml:space="preserve">ADR1118</t>
  </si>
  <si>
    <t xml:space="preserve">ADR1119</t>
  </si>
  <si>
    <t xml:space="preserve">ADR1120</t>
  </si>
  <si>
    <t xml:space="preserve">ADR1121</t>
  </si>
  <si>
    <t xml:space="preserve">ADR1122</t>
  </si>
  <si>
    <t xml:space="preserve">ADR1123</t>
  </si>
  <si>
    <t xml:space="preserve">ADR1124</t>
  </si>
  <si>
    <t xml:space="preserve">ADR1125</t>
  </si>
  <si>
    <t xml:space="preserve">ADR1126</t>
  </si>
  <si>
    <t xml:space="preserve">ADR1127</t>
  </si>
  <si>
    <t xml:space="preserve">ADR1128</t>
  </si>
  <si>
    <t xml:space="preserve">ADR1129</t>
  </si>
  <si>
    <t xml:space="preserve">ADR1130</t>
  </si>
  <si>
    <t xml:space="preserve">ADR1131</t>
  </si>
  <si>
    <t xml:space="preserve">ADR1132</t>
  </si>
  <si>
    <t xml:space="preserve">ADR1133</t>
  </si>
  <si>
    <t xml:space="preserve">ADR1134</t>
  </si>
  <si>
    <t xml:space="preserve">ADR1135</t>
  </si>
  <si>
    <t xml:space="preserve">ADR1136</t>
  </si>
  <si>
    <t xml:space="preserve">ADR1137</t>
  </si>
  <si>
    <t xml:space="preserve">ADR1138</t>
  </si>
  <si>
    <t xml:space="preserve">ADR1139</t>
  </si>
  <si>
    <t xml:space="preserve">ADR1140</t>
  </si>
  <si>
    <t xml:space="preserve">ADR1141</t>
  </si>
  <si>
    <t xml:space="preserve">ADR1142</t>
  </si>
  <si>
    <t xml:space="preserve">ADR1143</t>
  </si>
  <si>
    <t xml:space="preserve">ADR1144</t>
  </si>
  <si>
    <t xml:space="preserve">ADR1145</t>
  </si>
  <si>
    <t xml:space="preserve">ADR1146</t>
  </si>
  <si>
    <t xml:space="preserve">ADR1147</t>
  </si>
  <si>
    <t xml:space="preserve">ADR1148</t>
  </si>
  <si>
    <t xml:space="preserve">ADR1149</t>
  </si>
  <si>
    <t xml:space="preserve">ADR1150</t>
  </si>
  <si>
    <t xml:space="preserve">ADR1151</t>
  </si>
  <si>
    <t xml:space="preserve">ADR1152</t>
  </si>
  <si>
    <t xml:space="preserve">ADR1153</t>
  </si>
  <si>
    <t xml:space="preserve">ADR1154</t>
  </si>
  <si>
    <t xml:space="preserve">ADR1155</t>
  </si>
  <si>
    <t xml:space="preserve">ADR1156</t>
  </si>
  <si>
    <t xml:space="preserve">ADR1157</t>
  </si>
  <si>
    <t xml:space="preserve">ADR1158</t>
  </si>
  <si>
    <t xml:space="preserve">ADR1159</t>
  </si>
  <si>
    <t xml:space="preserve">ADR1160</t>
  </si>
  <si>
    <t xml:space="preserve">ADR1161</t>
  </si>
  <si>
    <t xml:space="preserve">ADR1162</t>
  </si>
  <si>
    <t xml:space="preserve">ADR1163</t>
  </si>
  <si>
    <t xml:space="preserve">ADR1164</t>
  </si>
  <si>
    <t xml:space="preserve">ADR1165</t>
  </si>
  <si>
    <t xml:space="preserve">ADR1166</t>
  </si>
  <si>
    <t xml:space="preserve">ADR1167</t>
  </si>
  <si>
    <t xml:space="preserve">ADR1168</t>
  </si>
  <si>
    <t xml:space="preserve">ADR1169</t>
  </si>
  <si>
    <t xml:space="preserve">ADR1170</t>
  </si>
  <si>
    <t xml:space="preserve">ADR1171</t>
  </si>
  <si>
    <t xml:space="preserve">ADR1172</t>
  </si>
  <si>
    <t xml:space="preserve">ADR1173</t>
  </si>
  <si>
    <t xml:space="preserve">ADR1174</t>
  </si>
  <si>
    <t xml:space="preserve">ADR1175</t>
  </si>
  <si>
    <t xml:space="preserve">ADR1176</t>
  </si>
  <si>
    <t xml:space="preserve">ADR1177</t>
  </si>
  <si>
    <t xml:space="preserve">ADR1178</t>
  </si>
  <si>
    <t xml:space="preserve">ADR1179</t>
  </si>
  <si>
    <t xml:space="preserve">ADR1180</t>
  </si>
  <si>
    <t xml:space="preserve">ADR1181</t>
  </si>
  <si>
    <t xml:space="preserve">ADR1182</t>
  </si>
  <si>
    <t xml:space="preserve">ADR1183</t>
  </si>
  <si>
    <t xml:space="preserve">ADR1184</t>
  </si>
  <si>
    <t xml:space="preserve">ADR1185</t>
  </si>
  <si>
    <t xml:space="preserve">ADR1186</t>
  </si>
  <si>
    <t xml:space="preserve">ADR1187</t>
  </si>
  <si>
    <t xml:space="preserve">ADR1188</t>
  </si>
  <si>
    <t xml:space="preserve">ADR1189</t>
  </si>
  <si>
    <t xml:space="preserve">ADR1190</t>
  </si>
  <si>
    <t xml:space="preserve">ADR1191</t>
  </si>
  <si>
    <t xml:space="preserve">ADR1192</t>
  </si>
  <si>
    <t xml:space="preserve">ADR1193</t>
  </si>
  <si>
    <t xml:space="preserve">ADR1194</t>
  </si>
  <si>
    <t xml:space="preserve">ADR1195</t>
  </si>
  <si>
    <t xml:space="preserve">ADR1196</t>
  </si>
  <si>
    <t xml:space="preserve">ADR1197</t>
  </si>
  <si>
    <t xml:space="preserve">ADR1198</t>
  </si>
  <si>
    <t xml:space="preserve">ADR1199</t>
  </si>
  <si>
    <t xml:space="preserve">ADR1200</t>
  </si>
  <si>
    <t xml:space="preserve">ADR1201</t>
  </si>
  <si>
    <t xml:space="preserve">ADR1202</t>
  </si>
  <si>
    <t xml:space="preserve">ADR1203</t>
  </si>
  <si>
    <t xml:space="preserve">ADR1204</t>
  </si>
  <si>
    <t xml:space="preserve">ADR1205</t>
  </si>
  <si>
    <t xml:space="preserve">ADR1206</t>
  </si>
  <si>
    <t xml:space="preserve">ADR1207</t>
  </si>
  <si>
    <t xml:space="preserve">ADR1208</t>
  </si>
  <si>
    <t xml:space="preserve">ADR1209</t>
  </si>
  <si>
    <t xml:space="preserve">ADR1210</t>
  </si>
  <si>
    <t xml:space="preserve">ADR1211</t>
  </si>
  <si>
    <t xml:space="preserve">ADR1212</t>
  </si>
  <si>
    <t xml:space="preserve">ADR1213</t>
  </si>
  <si>
    <t xml:space="preserve">ADR1214</t>
  </si>
  <si>
    <t xml:space="preserve">ADR1215</t>
  </si>
  <si>
    <t xml:space="preserve">ADR1216</t>
  </si>
  <si>
    <t xml:space="preserve">ADR1217</t>
  </si>
  <si>
    <t xml:space="preserve">ADR1218</t>
  </si>
  <si>
    <t xml:space="preserve">ADR1219</t>
  </si>
  <si>
    <t xml:space="preserve">ADR1220</t>
  </si>
  <si>
    <t xml:space="preserve">ADR1221</t>
  </si>
  <si>
    <t xml:space="preserve">ADR1222</t>
  </si>
  <si>
    <t xml:space="preserve">ADR1223</t>
  </si>
  <si>
    <t xml:space="preserve">ADR1224</t>
  </si>
  <si>
    <t xml:space="preserve">ADR1225</t>
  </si>
  <si>
    <t xml:space="preserve">ADR1226</t>
  </si>
  <si>
    <t xml:space="preserve">ADR1227</t>
  </si>
  <si>
    <t xml:space="preserve">ADR1228</t>
  </si>
  <si>
    <t xml:space="preserve">ADR1229</t>
  </si>
  <si>
    <t xml:space="preserve">ADR1230</t>
  </si>
  <si>
    <t xml:space="preserve">ADR1231</t>
  </si>
  <si>
    <t xml:space="preserve">ADR1232</t>
  </si>
  <si>
    <t xml:space="preserve">ADR1233</t>
  </si>
  <si>
    <t xml:space="preserve">ADR1234</t>
  </si>
  <si>
    <t xml:space="preserve">ADR1235</t>
  </si>
  <si>
    <t xml:space="preserve">ADR1236</t>
  </si>
  <si>
    <t xml:space="preserve">ADR1237</t>
  </si>
  <si>
    <t xml:space="preserve">ADR1238</t>
  </si>
  <si>
    <t xml:space="preserve">ADR1239</t>
  </si>
  <si>
    <t xml:space="preserve">ADR1240</t>
  </si>
  <si>
    <t xml:space="preserve">ADR1241</t>
  </si>
  <si>
    <t xml:space="preserve">ADR1242</t>
  </si>
  <si>
    <t xml:space="preserve">ADR1243</t>
  </si>
  <si>
    <t xml:space="preserve">ADR1244</t>
  </si>
  <si>
    <t xml:space="preserve">ADR1245</t>
  </si>
  <si>
    <t xml:space="preserve">ADR1246</t>
  </si>
  <si>
    <t xml:space="preserve">ADR1247</t>
  </si>
  <si>
    <t xml:space="preserve">ADR1248</t>
  </si>
  <si>
    <t xml:space="preserve">Reports</t>
  </si>
  <si>
    <t xml:space="preserve">Drug</t>
  </si>
  <si>
    <t xml:space="preserve">Serious %</t>
  </si>
  <si>
    <t xml:space="preserve">Rank key</t>
  </si>
  <si>
    <t xml:space="preserve">Rank</t>
  </si>
  <si>
    <t xml:space="preserve">High-Risk Drug</t>
  </si>
  <si>
    <t xml:space="preserve">Causality</t>
  </si>
  <si>
    <t xml:space="preserve">0-17</t>
  </si>
  <si>
    <t xml:space="preserve">0-1 days</t>
  </si>
  <si>
    <t xml:space="preserve">18-39</t>
  </si>
  <si>
    <t xml:space="preserve">2-7 days</t>
  </si>
  <si>
    <t xml:space="preserve">40-59</t>
  </si>
  <si>
    <t xml:space="preserve">8-30 days</t>
  </si>
  <si>
    <t xml:space="preserve">60+</t>
  </si>
  <si>
    <t xml:space="preserve">&gt;30 days</t>
  </si>
  <si>
    <t xml:space="preserve">Serious Reports</t>
  </si>
  <si>
    <t xml:space="preserve">Risk Level</t>
  </si>
  <si>
    <t xml:space="preserve">Top Drug-ADR Pair (by serious reports)</t>
  </si>
  <si>
    <t xml:space="preserve">ADR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</si>
</sst>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@"/>
    <numFmt numFmtId="167" formatCode="0"/>
    <numFmt numFmtId="168" formatCode="0%"/>
    <numFmt numFmtId="169" formatCode="0.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11111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b val="true"/>
      <sz val="22"/>
      <color rgb="FF111111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7B68EE"/>
        <bgColor rgb="FF4F81BD"/>
      </patternFill>
    </fill>
    <fill>
      <patternFill patternType="solid">
        <fgColor rgb="FFFF4F3F"/>
        <bgColor rgb="FFFF8080"/>
      </patternFill>
    </fill>
    <fill>
      <patternFill patternType="solid">
        <fgColor rgb="FFCDE22E"/>
        <bgColor rgb="FF99CC00"/>
      </patternFill>
    </fill>
    <fill>
      <patternFill patternType="solid">
        <fgColor rgb="FF111111"/>
        <bgColor rgb="FF0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1111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FF4F3F"/>
        </patternFill>
      </fill>
    </dxf>
    <dxf>
      <fill>
        <patternFill>
          <bgColor rgb="FFCDE22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7B68EE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CDE22E"/>
      <rgbColor rgb="FFFF9900"/>
      <rgbColor rgb="FFFF4F3F"/>
      <rgbColor rgb="FF666666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ADR by System Organ Class (SOC)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Analysis!B1</c:f>
              <c:strCache>
                <c:ptCount val="1"/>
                <c:pt idx="0">
                  <c:v>Reports</c:v>
                </c:pt>
              </c:strCache>
            </c:strRef>
          </c:tx>
          <c:spPr>
            <a:solidFill>
              <a:srgbClr val="7b68e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Analysis!$A$2:$A$13</c:f>
              <c:strCache>
                <c:ptCount val="12"/>
                <c:pt idx="0">
                  <c:v>Gastrointestinal</c:v>
                </c:pt>
                <c:pt idx="1">
                  <c:v>Nervous System</c:v>
                </c:pt>
                <c:pt idx="2">
                  <c:v>Skin &amp; Subcutaneous</c:v>
                </c:pt>
                <c:pt idx="3">
                  <c:v>Metabolism &amp; Nutrition</c:v>
                </c:pt>
                <c:pt idx="4">
                  <c:v>Cardiac</c:v>
                </c:pt>
                <c:pt idx="5">
                  <c:v>Blood &amp; Lymphatic</c:v>
                </c:pt>
                <c:pt idx="6">
                  <c:v>Hepatobiliary</c:v>
                </c:pt>
                <c:pt idx="7">
                  <c:v>Musculoskeletal</c:v>
                </c:pt>
                <c:pt idx="8">
                  <c:v>General Disorders</c:v>
                </c:pt>
                <c:pt idx="9">
                  <c:v>Respiratory</c:v>
                </c:pt>
                <c:pt idx="10">
                  <c:v>Renal &amp; Urinary</c:v>
                </c:pt>
                <c:pt idx="11">
                  <c:v>Immune System</c:v>
                </c:pt>
              </c:strCache>
            </c:strRef>
          </c:cat>
          <c:val>
            <c:numRef>
              <c:f>Analysis!$B$2:$B$13</c:f>
              <c:numCache>
                <c:formatCode>General</c:formatCode>
                <c:ptCount val="12"/>
                <c:pt idx="0">
                  <c:v>355</c:v>
                </c:pt>
                <c:pt idx="1">
                  <c:v>262</c:v>
                </c:pt>
                <c:pt idx="2">
                  <c:v>120</c:v>
                </c:pt>
                <c:pt idx="3">
                  <c:v>107</c:v>
                </c:pt>
                <c:pt idx="4">
                  <c:v>90</c:v>
                </c:pt>
                <c:pt idx="5">
                  <c:v>75</c:v>
                </c:pt>
                <c:pt idx="6">
                  <c:v>58</c:v>
                </c:pt>
                <c:pt idx="7">
                  <c:v>51</c:v>
                </c:pt>
                <c:pt idx="8">
                  <c:v>42</c:v>
                </c:pt>
                <c:pt idx="9">
                  <c:v>37</c:v>
                </c:pt>
                <c:pt idx="10">
                  <c:v>28</c:v>
                </c:pt>
                <c:pt idx="11">
                  <c:v>23</c:v>
                </c:pt>
              </c:numCache>
            </c:numRef>
          </c:val>
        </c:ser>
        <c:gapWidth val="150"/>
        <c:overlap val="0"/>
        <c:axId val="30389801"/>
        <c:axId val="40643259"/>
      </c:barChart>
      <c:catAx>
        <c:axId val="3038980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643259"/>
        <c:crosses val="autoZero"/>
        <c:auto val="1"/>
        <c:lblAlgn val="ctr"/>
        <c:lblOffset val="100"/>
        <c:noMultiLvlLbl val="0"/>
      </c:catAx>
      <c:valAx>
        <c:axId val="406432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3898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ADR Severity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Analysis!E1</c:f>
              <c:strCache>
                <c:ptCount val="1"/>
                <c:pt idx="0">
                  <c:v>Reports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7b68ee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f3f"/>
              </a:solidFill>
              <a:ln w="0">
                <a:noFill/>
              </a:ln>
            </c:spPr>
          </c:dPt>
          <c:dPt>
            <c:idx val="2"/>
            <c:spPr>
              <a:solidFill>
                <a:srgbClr val="cde22e"/>
              </a:solidFill>
              <a:ln w="0">
                <a:noFill/>
              </a:ln>
            </c:spPr>
          </c:dPt>
          <c:dPt>
            <c:idx val="3"/>
            <c:spPr>
              <a:solidFill>
                <a:srgbClr val="111111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Analysis!$D$2:$D$5</c:f>
              <c:strCache>
                <c:ptCount val="4"/>
                <c:pt idx="0">
                  <c:v>Mild</c:v>
                </c:pt>
                <c:pt idx="1">
                  <c:v>Moderate</c:v>
                </c:pt>
                <c:pt idx="2">
                  <c:v>Severe</c:v>
                </c:pt>
                <c:pt idx="3">
                  <c:v>Life-Threatening</c:v>
                </c:pt>
              </c:strCache>
            </c:strRef>
          </c:cat>
          <c:val>
            <c:numRef>
              <c:f>Analysis!$E$2:$E$5</c:f>
              <c:numCache>
                <c:formatCode>General</c:formatCode>
                <c:ptCount val="4"/>
                <c:pt idx="0">
                  <c:v>396</c:v>
                </c:pt>
                <c:pt idx="1">
                  <c:v>456</c:v>
                </c:pt>
                <c:pt idx="2">
                  <c:v>255</c:v>
                </c:pt>
                <c:pt idx="3">
                  <c:v>141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High-Risk Drugs (Serious Reports)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Analysis!O1</c:f>
              <c:strCache>
                <c:ptCount val="1"/>
                <c:pt idx="0">
                  <c:v>Serious</c:v>
                </c:pt>
              </c:strCache>
            </c:strRef>
          </c:tx>
          <c:spPr>
            <a:solidFill>
              <a:srgbClr val="ff4f3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Analysis!$N$2:$N$11</c:f>
              <c:strCache>
                <c:ptCount val="10"/>
                <c:pt idx="0">
                  <c:v>Diclofenac</c:v>
                </c:pt>
                <c:pt idx="1">
                  <c:v>Ibuprofen</c:v>
                </c:pt>
                <c:pt idx="2">
                  <c:v>Amoxicillin</c:v>
                </c:pt>
                <c:pt idx="3">
                  <c:v>Paracetamol</c:v>
                </c:pt>
                <c:pt idx="4">
                  <c:v>Metformin</c:v>
                </c:pt>
                <c:pt idx="5">
                  <c:v>Cotrimoxazole</c:v>
                </c:pt>
                <c:pt idx="6">
                  <c:v>Ciprofloxacin</c:v>
                </c:pt>
                <c:pt idx="7">
                  <c:v>Allopurinol</c:v>
                </c:pt>
                <c:pt idx="8">
                  <c:v>Phenytoin</c:v>
                </c:pt>
                <c:pt idx="9">
                  <c:v>Warfarin</c:v>
                </c:pt>
              </c:strCache>
            </c:strRef>
          </c:cat>
          <c:val>
            <c:numRef>
              <c:f>Analysis!$O$2:$O$11</c:f>
              <c:numCache>
                <c:formatCode>General</c:formatCode>
                <c:ptCount val="10"/>
                <c:pt idx="0">
                  <c:v>16</c:v>
                </c:pt>
                <c:pt idx="1">
                  <c:v>15</c:v>
                </c:pt>
                <c:pt idx="2">
                  <c:v>12</c:v>
                </c:pt>
                <c:pt idx="3">
                  <c:v>12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</c:numCache>
            </c:numRef>
          </c:val>
        </c:ser>
        <c:gapWidth val="150"/>
        <c:overlap val="0"/>
        <c:axId val="71053425"/>
        <c:axId val="97366200"/>
      </c:barChart>
      <c:catAx>
        <c:axId val="7105342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366200"/>
        <c:crosses val="autoZero"/>
        <c:auto val="1"/>
        <c:lblAlgn val="ctr"/>
        <c:lblOffset val="100"/>
        <c:noMultiLvlLbl val="0"/>
      </c:catAx>
      <c:valAx>
        <c:axId val="973662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05342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Causality Assessment (WHO-UMC)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Analysis!T1</c:f>
              <c:strCache>
                <c:ptCount val="1"/>
                <c:pt idx="0">
                  <c:v>Reports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11111"/>
              </a:solidFill>
              <a:ln w="0">
                <a:noFill/>
              </a:ln>
            </c:spPr>
          </c:dPt>
          <c:dPt>
            <c:idx val="1"/>
            <c:spPr>
              <a:solidFill>
                <a:srgbClr val="7b68e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cde22e"/>
              </a:solidFill>
              <a:ln w="0">
                <a:noFill/>
              </a:ln>
            </c:spPr>
          </c:dPt>
          <c:dPt>
            <c:idx val="3"/>
            <c:spPr>
              <a:solidFill>
                <a:srgbClr val="ff4f3f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Analysis!$S$2:$S$5</c:f>
              <c:strCache>
                <c:ptCount val="4"/>
                <c:pt idx="0">
                  <c:v>Certain</c:v>
                </c:pt>
                <c:pt idx="1">
                  <c:v>Probable</c:v>
                </c:pt>
                <c:pt idx="2">
                  <c:v>Possible</c:v>
                </c:pt>
                <c:pt idx="3">
                  <c:v>Unlikely</c:v>
                </c:pt>
              </c:strCache>
            </c:strRef>
          </c:cat>
          <c:val>
            <c:numRef>
              <c:f>Analysis!$T$2:$T$5</c:f>
              <c:numCache>
                <c:formatCode>General</c:formatCode>
                <c:ptCount val="4"/>
                <c:pt idx="0">
                  <c:v>108</c:v>
                </c:pt>
                <c:pt idx="1">
                  <c:v>467</c:v>
                </c:pt>
                <c:pt idx="2">
                  <c:v>550</c:v>
                </c:pt>
                <c:pt idx="3">
                  <c:v>123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ADR Reports by Age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Analysis!W1</c:f>
              <c:strCache>
                <c:ptCount val="1"/>
                <c:pt idx="0">
                  <c:v>Reports</c:v>
                </c:pt>
              </c:strCache>
            </c:strRef>
          </c:tx>
          <c:spPr>
            <a:solidFill>
              <a:srgbClr val="cde22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Analysis!$V$2:$V$5</c:f>
              <c:strCache>
                <c:ptCount val="4"/>
                <c:pt idx="0">
                  <c:v>0-17</c:v>
                </c:pt>
                <c:pt idx="1">
                  <c:v>18-39</c:v>
                </c:pt>
                <c:pt idx="2">
                  <c:v>40-59</c:v>
                </c:pt>
                <c:pt idx="3">
                  <c:v>60+</c:v>
                </c:pt>
              </c:strCache>
            </c:strRef>
          </c:cat>
          <c:val>
            <c:numRef>
              <c:f>Analysis!$W$2:$W$5</c:f>
              <c:numCache>
                <c:formatCode>General</c:formatCode>
                <c:ptCount val="4"/>
                <c:pt idx="0">
                  <c:v>93</c:v>
                </c:pt>
                <c:pt idx="1">
                  <c:v>330</c:v>
                </c:pt>
                <c:pt idx="2">
                  <c:v>477</c:v>
                </c:pt>
                <c:pt idx="3">
                  <c:v>348</c:v>
                </c:pt>
              </c:numCache>
            </c:numRef>
          </c:val>
        </c:ser>
        <c:gapWidth val="150"/>
        <c:overlap val="0"/>
        <c:axId val="18215574"/>
        <c:axId val="71846070"/>
      </c:barChart>
      <c:catAx>
        <c:axId val="182155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846070"/>
        <c:crosses val="autoZero"/>
        <c:auto val="1"/>
        <c:lblAlgn val="ctr"/>
        <c:lblOffset val="100"/>
        <c:noMultiLvlLbl val="0"/>
      </c:catAx>
      <c:valAx>
        <c:axId val="718460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2155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Time to Onset of Reaction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Analysis!Z1</c:f>
              <c:strCache>
                <c:ptCount val="1"/>
                <c:pt idx="0">
                  <c:v>Reports</c:v>
                </c:pt>
              </c:strCache>
            </c:strRef>
          </c:tx>
          <c:spPr>
            <a:solidFill>
              <a:srgbClr val="7b68e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Analysis!$Y$2:$Y$5</c:f>
              <c:strCache>
                <c:ptCount val="4"/>
                <c:pt idx="0">
                  <c:v>0-1 days</c:v>
                </c:pt>
                <c:pt idx="1">
                  <c:v>2-7 days</c:v>
                </c:pt>
                <c:pt idx="2">
                  <c:v>8-30 days</c:v>
                </c:pt>
                <c:pt idx="3">
                  <c:v>&gt;30 days</c:v>
                </c:pt>
              </c:strCache>
            </c:strRef>
          </c:cat>
          <c:val>
            <c:numRef>
              <c:f>Analysis!$Z$2:$Z$5</c:f>
              <c:numCache>
                <c:formatCode>General</c:formatCode>
                <c:ptCount val="4"/>
                <c:pt idx="0">
                  <c:v>105</c:v>
                </c:pt>
                <c:pt idx="1">
                  <c:v>215</c:v>
                </c:pt>
                <c:pt idx="2">
                  <c:v>872</c:v>
                </c:pt>
                <c:pt idx="3">
                  <c:v>872</c:v>
                </c:pt>
              </c:numCache>
            </c:numRef>
          </c:val>
        </c:ser>
        <c:gapWidth val="150"/>
        <c:overlap val="0"/>
        <c:axId val="60963655"/>
        <c:axId val="40132189"/>
      </c:barChart>
      <c:catAx>
        <c:axId val="60963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132189"/>
        <c:crosses val="autoZero"/>
        <c:auto val="1"/>
        <c:lblAlgn val="ctr"/>
        <c:lblOffset val="100"/>
        <c:noMultiLvlLbl val="0"/>
      </c:catAx>
      <c:valAx>
        <c:axId val="401321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9636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Patient Outcome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Analysis!AC1</c:f>
              <c:strCache>
                <c:ptCount val="1"/>
                <c:pt idx="0">
                  <c:v>Reports</c:v>
                </c:pt>
              </c:strCache>
            </c:strRef>
          </c:tx>
          <c:spPr>
            <a:solidFill>
              <a:srgbClr val="ff4f3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Analysis!$AB$2:$AB$6</c:f>
              <c:strCache>
                <c:ptCount val="5"/>
                <c:pt idx="0">
                  <c:v>Recovered</c:v>
                </c:pt>
                <c:pt idx="1">
                  <c:v>Recovering</c:v>
                </c:pt>
                <c:pt idx="2">
                  <c:v>Not Recovered</c:v>
                </c:pt>
                <c:pt idx="3">
                  <c:v>Recovered with Sequelae</c:v>
                </c:pt>
                <c:pt idx="4">
                  <c:v>Fatal</c:v>
                </c:pt>
              </c:strCache>
            </c:strRef>
          </c:cat>
          <c:val>
            <c:numRef>
              <c:f>Analysis!$AC$2:$AC$6</c:f>
              <c:numCache>
                <c:formatCode>General</c:formatCode>
                <c:ptCount val="5"/>
                <c:pt idx="0">
                  <c:v>679</c:v>
                </c:pt>
                <c:pt idx="1">
                  <c:v>315</c:v>
                </c:pt>
                <c:pt idx="2">
                  <c:v>104</c:v>
                </c:pt>
                <c:pt idx="3">
                  <c:v>105</c:v>
                </c:pt>
                <c:pt idx="4">
                  <c:v>45</c:v>
                </c:pt>
              </c:numCache>
            </c:numRef>
          </c:val>
        </c:ser>
        <c:gapWidth val="150"/>
        <c:overlap val="0"/>
        <c:axId val="86205697"/>
        <c:axId val="56498104"/>
      </c:barChart>
      <c:catAx>
        <c:axId val="8620569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498104"/>
        <c:crosses val="autoZero"/>
        <c:auto val="1"/>
        <c:lblAlgn val="ctr"/>
        <c:lblOffset val="100"/>
        <c:noMultiLvlLbl val="0"/>
      </c:catAx>
      <c:valAx>
        <c:axId val="564981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2056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0</xdr:rowOff>
    </xdr:from>
    <xdr:to>
      <xdr:col>7</xdr:col>
      <xdr:colOff>530280</xdr:colOff>
      <xdr:row>23</xdr:row>
      <xdr:rowOff>181080</xdr:rowOff>
    </xdr:to>
    <xdr:graphicFrame>
      <xdr:nvGraphicFramePr>
        <xdr:cNvPr id="0" name="Chart 1"/>
        <xdr:cNvGraphicFramePr/>
      </xdr:nvGraphicFramePr>
      <xdr:xfrm>
        <a:off x="0" y="1352520"/>
        <a:ext cx="521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6</xdr:row>
      <xdr:rowOff>0</xdr:rowOff>
    </xdr:from>
    <xdr:to>
      <xdr:col>15</xdr:col>
      <xdr:colOff>529920</xdr:colOff>
      <xdr:row>22</xdr:row>
      <xdr:rowOff>11520</xdr:rowOff>
    </xdr:to>
    <xdr:graphicFrame>
      <xdr:nvGraphicFramePr>
        <xdr:cNvPr id="1" name="Chart 2"/>
        <xdr:cNvGraphicFramePr/>
      </xdr:nvGraphicFramePr>
      <xdr:xfrm>
        <a:off x="5359320" y="1352520"/>
        <a:ext cx="52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26</xdr:row>
      <xdr:rowOff>0</xdr:rowOff>
    </xdr:from>
    <xdr:to>
      <xdr:col>7</xdr:col>
      <xdr:colOff>530280</xdr:colOff>
      <xdr:row>43</xdr:row>
      <xdr:rowOff>181080</xdr:rowOff>
    </xdr:to>
    <xdr:graphicFrame>
      <xdr:nvGraphicFramePr>
        <xdr:cNvPr id="2" name="Chart 3"/>
        <xdr:cNvGraphicFramePr/>
      </xdr:nvGraphicFramePr>
      <xdr:xfrm>
        <a:off x="0" y="5162400"/>
        <a:ext cx="521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26</xdr:row>
      <xdr:rowOff>0</xdr:rowOff>
    </xdr:from>
    <xdr:to>
      <xdr:col>15</xdr:col>
      <xdr:colOff>529920</xdr:colOff>
      <xdr:row>42</xdr:row>
      <xdr:rowOff>11520</xdr:rowOff>
    </xdr:to>
    <xdr:graphicFrame>
      <xdr:nvGraphicFramePr>
        <xdr:cNvPr id="3" name="Chart 4"/>
        <xdr:cNvGraphicFramePr/>
      </xdr:nvGraphicFramePr>
      <xdr:xfrm>
        <a:off x="5359320" y="5162400"/>
        <a:ext cx="52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46</xdr:row>
      <xdr:rowOff>0</xdr:rowOff>
    </xdr:from>
    <xdr:to>
      <xdr:col>7</xdr:col>
      <xdr:colOff>530280</xdr:colOff>
      <xdr:row>62</xdr:row>
      <xdr:rowOff>11880</xdr:rowOff>
    </xdr:to>
    <xdr:graphicFrame>
      <xdr:nvGraphicFramePr>
        <xdr:cNvPr id="4" name="Chart 5"/>
        <xdr:cNvGraphicFramePr/>
      </xdr:nvGraphicFramePr>
      <xdr:xfrm>
        <a:off x="0" y="8972640"/>
        <a:ext cx="52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0</xdr:colOff>
      <xdr:row>46</xdr:row>
      <xdr:rowOff>0</xdr:rowOff>
    </xdr:from>
    <xdr:to>
      <xdr:col>15</xdr:col>
      <xdr:colOff>529920</xdr:colOff>
      <xdr:row>62</xdr:row>
      <xdr:rowOff>11880</xdr:rowOff>
    </xdr:to>
    <xdr:graphicFrame>
      <xdr:nvGraphicFramePr>
        <xdr:cNvPr id="5" name="Chart 6"/>
        <xdr:cNvGraphicFramePr/>
      </xdr:nvGraphicFramePr>
      <xdr:xfrm>
        <a:off x="5359320" y="8972640"/>
        <a:ext cx="52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64</xdr:row>
      <xdr:rowOff>0</xdr:rowOff>
    </xdr:from>
    <xdr:to>
      <xdr:col>7</xdr:col>
      <xdr:colOff>530280</xdr:colOff>
      <xdr:row>80</xdr:row>
      <xdr:rowOff>11880</xdr:rowOff>
    </xdr:to>
    <xdr:graphicFrame>
      <xdr:nvGraphicFramePr>
        <xdr:cNvPr id="6" name="Chart 7"/>
        <xdr:cNvGraphicFramePr/>
      </xdr:nvGraphicFramePr>
      <xdr:xfrm>
        <a:off x="0" y="12401640"/>
        <a:ext cx="52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8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0" width="9.51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/>
      <c r="C3" s="3"/>
      <c r="D3" s="3"/>
      <c r="E3" s="4" t="s">
        <v>3</v>
      </c>
      <c r="F3" s="4"/>
      <c r="G3" s="4"/>
      <c r="H3" s="4"/>
      <c r="I3" s="5" t="s">
        <v>4</v>
      </c>
      <c r="J3" s="5"/>
      <c r="K3" s="5"/>
      <c r="L3" s="5"/>
      <c r="M3" s="3" t="s">
        <v>5</v>
      </c>
      <c r="N3" s="3"/>
      <c r="O3" s="3"/>
      <c r="P3" s="3"/>
    </row>
    <row r="4" customFormat="false" ht="15" hidden="false" customHeight="false" outlineLevel="0" collapsed="false">
      <c r="A4" s="6" t="n">
        <f aca="false">COUNTA(Data!$A$2:$A$1249)</f>
        <v>1248</v>
      </c>
      <c r="B4" s="6"/>
      <c r="C4" s="6"/>
      <c r="D4" s="6"/>
      <c r="E4" s="7" t="str">
        <f aca="false">COUNTIF(Data!$L$2:$L$1249,"Yes")&amp;" ("&amp;TEXT(COUNTIF(Data!$L$2:$L$1249,"Yes")/COUNTA(Data!$A$2:$A$1249),"0%")&amp;")"</f>
        <v>396 (32%)</v>
      </c>
      <c r="F4" s="7"/>
      <c r="G4" s="7"/>
      <c r="H4" s="7"/>
      <c r="I4" s="8" t="n">
        <f aca="false">COUNTIF(Analysis!$H$2:$H$87,"&gt;0")</f>
        <v>86</v>
      </c>
      <c r="J4" s="8"/>
      <c r="K4" s="8"/>
      <c r="L4" s="8"/>
      <c r="M4" s="6" t="n">
        <f aca="false">COUNTIF(Analysis!$AF$2:$AF$33,"&gt;0")</f>
        <v>32</v>
      </c>
      <c r="N4" s="6"/>
      <c r="O4" s="6"/>
      <c r="P4" s="6"/>
    </row>
    <row r="5" customFormat="false" ht="15" hidden="false" customHeight="false" outlineLevel="0" collapsed="false">
      <c r="A5" s="6"/>
      <c r="B5" s="6"/>
      <c r="C5" s="6"/>
      <c r="D5" s="6"/>
      <c r="E5" s="7"/>
      <c r="F5" s="7"/>
      <c r="G5" s="7"/>
      <c r="H5" s="7"/>
      <c r="I5" s="8"/>
      <c r="J5" s="8"/>
      <c r="K5" s="8"/>
      <c r="L5" s="8"/>
      <c r="M5" s="6"/>
      <c r="N5" s="6"/>
      <c r="O5" s="6"/>
      <c r="P5" s="6"/>
    </row>
    <row r="65" customFormat="false" ht="15" hidden="false" customHeight="false" outlineLevel="0" collapsed="false">
      <c r="I65" s="9" t="s">
        <v>6</v>
      </c>
      <c r="J65" s="9"/>
      <c r="K65" s="9"/>
      <c r="L65" s="9"/>
      <c r="M65" s="9"/>
      <c r="N65" s="9"/>
      <c r="O65" s="9"/>
      <c r="P65" s="9"/>
    </row>
    <row r="66" customFormat="false" ht="15" hidden="false" customHeight="false" outlineLevel="0" collapsed="false">
      <c r="I66" s="10" t="str">
        <f aca="false">"Most reported SOC: "&amp;Analysis!A2&amp;" ("&amp;TEXT(Analysis!B2/COUNTA(Data!$A$2:$A$1249),"0%")&amp;" of reports)."</f>
        <v>Most reported SOC: Gastrointestinal (28% of reports).</v>
      </c>
      <c r="J66" s="10"/>
      <c r="K66" s="10"/>
      <c r="L66" s="10"/>
      <c r="M66" s="10"/>
      <c r="N66" s="10"/>
      <c r="O66" s="10"/>
      <c r="P66" s="10"/>
    </row>
    <row r="67" customFormat="false" ht="15" hidden="false" customHeight="false" outlineLevel="0" collapsed="false">
      <c r="I67" s="10"/>
      <c r="J67" s="10"/>
      <c r="K67" s="10"/>
      <c r="L67" s="10"/>
      <c r="M67" s="10"/>
      <c r="N67" s="10"/>
      <c r="O67" s="10"/>
      <c r="P67" s="10"/>
    </row>
    <row r="68" customFormat="false" ht="15" hidden="false" customHeight="false" outlineLevel="0" collapsed="false">
      <c r="I68" s="10"/>
      <c r="J68" s="10"/>
      <c r="K68" s="10"/>
      <c r="L68" s="10"/>
      <c r="M68" s="10"/>
      <c r="N68" s="10"/>
      <c r="O68" s="10"/>
      <c r="P68" s="10"/>
    </row>
    <row r="69" customFormat="false" ht="15" hidden="false" customHeight="false" outlineLevel="0" collapsed="false">
      <c r="I69" s="10" t="str">
        <f aca="false">"Highest-risk drug: "&amp;Analysis!N2&amp;" with "&amp;Analysis!O2&amp;" serious reports ("&amp;TEXT(Analysis!Q2,"0%")&amp;" of its reports)."</f>
        <v>Highest-risk drug: Diclofenac with 16 serious reports (44% of its reports).</v>
      </c>
      <c r="J69" s="10"/>
      <c r="K69" s="10"/>
      <c r="L69" s="10"/>
      <c r="M69" s="10"/>
      <c r="N69" s="10"/>
      <c r="O69" s="10"/>
      <c r="P69" s="10"/>
    </row>
    <row r="70" customFormat="false" ht="15" hidden="false" customHeight="false" outlineLevel="0" collapsed="false">
      <c r="I70" s="10"/>
      <c r="J70" s="10"/>
      <c r="K70" s="10"/>
      <c r="L70" s="10"/>
      <c r="M70" s="10"/>
      <c r="N70" s="10"/>
      <c r="O70" s="10"/>
      <c r="P70" s="10"/>
    </row>
    <row r="71" customFormat="false" ht="15" hidden="false" customHeight="false" outlineLevel="0" collapsed="false">
      <c r="I71" s="10"/>
      <c r="J71" s="10"/>
      <c r="K71" s="10"/>
      <c r="L71" s="10"/>
      <c r="M71" s="10"/>
      <c r="N71" s="10"/>
      <c r="O71" s="10"/>
      <c r="P71" s="10"/>
    </row>
    <row r="72" customFormat="false" ht="15" hidden="false" customHeight="false" outlineLevel="0" collapsed="false">
      <c r="I72" s="10" t="str">
        <f aca="false">TEXT(COUNTIF(Data!$L$2:$L$1249,"Yes")/COUNTA(Data!$A$2:$A$1249),"0%")&amp;" of ADRs are serious; "&amp;Analysis!AC6&amp;" fatal outcomes recorded."</f>
        <v>32% of ADRs are serious; 45 fatal outcomes recorded.</v>
      </c>
      <c r="J72" s="10"/>
      <c r="K72" s="10"/>
      <c r="L72" s="10"/>
      <c r="M72" s="10"/>
      <c r="N72" s="10"/>
      <c r="O72" s="10"/>
      <c r="P72" s="10"/>
    </row>
    <row r="73" customFormat="false" ht="15" hidden="false" customHeight="false" outlineLevel="0" collapsed="false">
      <c r="I73" s="10"/>
      <c r="J73" s="10"/>
      <c r="K73" s="10"/>
      <c r="L73" s="10"/>
      <c r="M73" s="10"/>
      <c r="N73" s="10"/>
      <c r="O73" s="10"/>
      <c r="P73" s="10"/>
    </row>
    <row r="74" customFormat="false" ht="15" hidden="false" customHeight="false" outlineLevel="0" collapsed="false">
      <c r="I74" s="10"/>
      <c r="J74" s="10"/>
      <c r="K74" s="10"/>
      <c r="L74" s="10"/>
      <c r="M74" s="10"/>
      <c r="N74" s="10"/>
      <c r="O74" s="10"/>
      <c r="P74" s="10"/>
    </row>
    <row r="75" customFormat="false" ht="15" hidden="false" customHeight="false" outlineLevel="0" collapsed="false">
      <c r="I75" s="10" t="str">
        <f aca="false">"Reactions most often start in the "&amp;INDEX(Analysis!Y2:Y5,MATCH(MAX(Analysis!Z2:Z5),Analysis!Z2:Z5,0))&amp;" window; "&amp;TEXT((Analysis!T3+Analysis!T2)/COUNTA(Data!$A$2:$A$1249),"0%")&amp;" are Certain/Probable causally."</f>
        <v>Reactions most often start in the 8-30 days window; 46% are Certain/Probable causally.</v>
      </c>
      <c r="J75" s="10"/>
      <c r="K75" s="10"/>
      <c r="L75" s="10"/>
      <c r="M75" s="10"/>
      <c r="N75" s="10"/>
      <c r="O75" s="10"/>
      <c r="P75" s="10"/>
    </row>
    <row r="76" customFormat="false" ht="15" hidden="false" customHeight="false" outlineLevel="0" collapsed="false">
      <c r="I76" s="10"/>
      <c r="J76" s="10"/>
      <c r="K76" s="10"/>
      <c r="L76" s="10"/>
      <c r="M76" s="10"/>
      <c r="N76" s="10"/>
      <c r="O76" s="10"/>
      <c r="P76" s="10"/>
    </row>
    <row r="77" customFormat="false" ht="15" hidden="false" customHeight="false" outlineLevel="0" collapsed="false">
      <c r="I77" s="10"/>
      <c r="J77" s="10"/>
      <c r="K77" s="10"/>
      <c r="L77" s="10"/>
      <c r="M77" s="10"/>
      <c r="N77" s="10"/>
      <c r="O77" s="10"/>
      <c r="P77" s="10"/>
    </row>
    <row r="78" customFormat="false" ht="15" hidden="false" customHeight="false" outlineLevel="0" collapsed="false">
      <c r="I78" s="10" t="str">
        <f aca="false">"Largest reporting group: age "&amp;INDEX(Analysis!V2:V5,MATCH(MAX(Analysis!W2:W5),Analysis!W2:W5,0))&amp;"; top country: "&amp;Analysis!AE2&amp;"."</f>
        <v>Largest reporting group: age 40-59; top country: India.</v>
      </c>
      <c r="J78" s="10"/>
      <c r="K78" s="10"/>
      <c r="L78" s="10"/>
      <c r="M78" s="10"/>
      <c r="N78" s="10"/>
      <c r="O78" s="10"/>
      <c r="P78" s="10"/>
    </row>
    <row r="79" customFormat="false" ht="15" hidden="false" customHeight="false" outlineLevel="0" collapsed="false">
      <c r="I79" s="10"/>
      <c r="J79" s="10"/>
      <c r="K79" s="10"/>
      <c r="L79" s="10"/>
      <c r="M79" s="10"/>
      <c r="N79" s="10"/>
      <c r="O79" s="10"/>
      <c r="P79" s="10"/>
    </row>
    <row r="80" customFormat="false" ht="15" hidden="false" customHeight="false" outlineLevel="0" collapsed="false">
      <c r="I80" s="10"/>
      <c r="J80" s="10"/>
      <c r="K80" s="10"/>
      <c r="L80" s="10"/>
      <c r="M80" s="10"/>
      <c r="N80" s="10"/>
      <c r="O80" s="10"/>
      <c r="P80" s="10"/>
    </row>
    <row r="83" customFormat="false" ht="15" hidden="false" customHeight="false" outlineLevel="0" collapsed="false">
      <c r="A83" s="2" t="s">
        <v>7</v>
      </c>
    </row>
  </sheetData>
  <mergeCells count="15">
    <mergeCell ref="A1:P1"/>
    <mergeCell ref="A3:D3"/>
    <mergeCell ref="E3:H3"/>
    <mergeCell ref="I3:L3"/>
    <mergeCell ref="M3:P3"/>
    <mergeCell ref="A4:D5"/>
    <mergeCell ref="E4:H5"/>
    <mergeCell ref="I4:L5"/>
    <mergeCell ref="M4:P5"/>
    <mergeCell ref="I65:P65"/>
    <mergeCell ref="I66:P68"/>
    <mergeCell ref="I69:P71"/>
    <mergeCell ref="I72:P74"/>
    <mergeCell ref="I75:P77"/>
    <mergeCell ref="I78:P8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1" t="s">
        <v>8</v>
      </c>
    </row>
    <row r="2" customFormat="false" ht="15" hidden="false" customHeight="false" outlineLevel="0" collapsed="false">
      <c r="A2" s="12"/>
    </row>
    <row r="3" customFormat="false" ht="15" hidden="false" customHeight="false" outlineLevel="0" collapsed="false">
      <c r="A3" s="12" t="s">
        <v>9</v>
      </c>
    </row>
    <row r="4" customFormat="false" ht="15" hidden="false" customHeight="false" outlineLevel="0" collapsed="false">
      <c r="A4" s="12" t="s">
        <v>10</v>
      </c>
    </row>
    <row r="5" customFormat="false" ht="15" hidden="false" customHeight="false" outlineLevel="0" collapsed="false">
      <c r="A5" s="12"/>
    </row>
    <row r="6" customFormat="false" ht="15" hidden="false" customHeight="false" outlineLevel="0" collapsed="false">
      <c r="A6" s="13" t="s">
        <v>11</v>
      </c>
    </row>
    <row r="7" customFormat="false" ht="15" hidden="false" customHeight="false" outlineLevel="0" collapsed="false">
      <c r="A7" s="12" t="s">
        <v>12</v>
      </c>
    </row>
    <row r="8" customFormat="false" ht="15" hidden="false" customHeight="false" outlineLevel="0" collapsed="false">
      <c r="A8" s="12" t="s">
        <v>13</v>
      </c>
    </row>
    <row r="9" customFormat="false" ht="15" hidden="false" customHeight="false" outlineLevel="0" collapsed="false">
      <c r="A9" s="12" t="s">
        <v>14</v>
      </c>
    </row>
    <row r="10" customFormat="false" ht="15" hidden="false" customHeight="false" outlineLevel="0" collapsed="false">
      <c r="A10" s="12" t="s">
        <v>15</v>
      </c>
    </row>
    <row r="11" customFormat="false" ht="15" hidden="false" customHeight="false" outlineLevel="0" collapsed="false">
      <c r="A11" s="12" t="s">
        <v>16</v>
      </c>
    </row>
    <row r="12" customFormat="false" ht="15" hidden="false" customHeight="false" outlineLevel="0" collapsed="false">
      <c r="A12" s="12" t="s">
        <v>17</v>
      </c>
    </row>
    <row r="13" customFormat="false" ht="15" hidden="false" customHeight="false" outlineLevel="0" collapsed="false">
      <c r="A13" s="1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9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7" min="6" style="0" width="22"/>
    <col collapsed="false" customWidth="true" hidden="false" outlineLevel="0" max="8" min="8" style="0" width="16"/>
    <col collapsed="false" customWidth="true" hidden="false" outlineLevel="0" max="9" min="9" style="0" width="11"/>
    <col collapsed="false" customWidth="true" hidden="false" outlineLevel="0" max="10" min="10" style="0" width="22"/>
    <col collapsed="false" customWidth="true" hidden="false" outlineLevel="0" max="11" min="11" style="0" width="18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4" min="14" style="0" width="11"/>
  </cols>
  <sheetData>
    <row r="1" customFormat="false" ht="26.85" hidden="false" customHeight="false" outlineLevel="0" collapsed="false">
      <c r="A1" s="14" t="s">
        <v>19</v>
      </c>
      <c r="B1" s="14" t="s">
        <v>20</v>
      </c>
      <c r="C1" s="14" t="s">
        <v>21</v>
      </c>
      <c r="D1" s="14" t="s">
        <v>22</v>
      </c>
      <c r="E1" s="14" t="s">
        <v>23</v>
      </c>
      <c r="F1" s="14" t="s">
        <v>24</v>
      </c>
      <c r="G1" s="14" t="s">
        <v>25</v>
      </c>
      <c r="H1" s="14" t="s">
        <v>26</v>
      </c>
      <c r="I1" s="14" t="s">
        <v>27</v>
      </c>
      <c r="J1" s="14" t="s">
        <v>28</v>
      </c>
      <c r="K1" s="14" t="s">
        <v>29</v>
      </c>
      <c r="L1" s="14" t="s">
        <v>30</v>
      </c>
      <c r="M1" s="14" t="s">
        <v>31</v>
      </c>
      <c r="N1" s="14" t="s">
        <v>32</v>
      </c>
    </row>
    <row r="2" customFormat="false" ht="15" hidden="false" customHeight="false" outlineLevel="0" collapsed="false">
      <c r="A2" s="12" t="s">
        <v>33</v>
      </c>
      <c r="B2" s="12" t="n">
        <v>42</v>
      </c>
      <c r="C2" s="12" t="s">
        <v>34</v>
      </c>
      <c r="D2" s="12" t="s">
        <v>35</v>
      </c>
      <c r="E2" s="12" t="s">
        <v>36</v>
      </c>
      <c r="F2" s="12" t="s">
        <v>37</v>
      </c>
      <c r="G2" s="12" t="s">
        <v>38</v>
      </c>
      <c r="H2" s="12" t="s">
        <v>39</v>
      </c>
      <c r="I2" s="12" t="n">
        <v>22</v>
      </c>
      <c r="J2" s="12" t="s">
        <v>40</v>
      </c>
      <c r="K2" s="12" t="s">
        <v>41</v>
      </c>
      <c r="L2" s="12" t="str">
        <f aca="false">IF(OR(H2="Severe",H2="Life-Threatening"),"Yes","No")</f>
        <v>No</v>
      </c>
      <c r="M2" s="12" t="str">
        <f aca="false">IF(B2&lt;18,"0-17",IF(B2&lt;40,"18-39",IF(B2&lt;60,"40-59","60+")))</f>
        <v>40-59</v>
      </c>
      <c r="N2" s="12" t="str">
        <f aca="false">IF(I2&lt;=1,"0-1 days",IF(I2&lt;=7,"2-7 days",IF(I2&lt;=30,"8-30 days","&gt;30 days")))</f>
        <v>8-30 days</v>
      </c>
    </row>
    <row r="3" customFormat="false" ht="15" hidden="false" customHeight="false" outlineLevel="0" collapsed="false">
      <c r="A3" s="12" t="s">
        <v>42</v>
      </c>
      <c r="B3" s="12" t="n">
        <v>61</v>
      </c>
      <c r="C3" s="12" t="s">
        <v>43</v>
      </c>
      <c r="D3" s="12" t="s">
        <v>35</v>
      </c>
      <c r="E3" s="12" t="s">
        <v>44</v>
      </c>
      <c r="F3" s="12" t="s">
        <v>45</v>
      </c>
      <c r="G3" s="12" t="s">
        <v>38</v>
      </c>
      <c r="H3" s="12" t="s">
        <v>46</v>
      </c>
      <c r="I3" s="12" t="n">
        <v>1</v>
      </c>
      <c r="J3" s="12" t="s">
        <v>47</v>
      </c>
      <c r="K3" s="12" t="s">
        <v>48</v>
      </c>
      <c r="L3" s="12" t="str">
        <f aca="false">IF(OR(H3="Severe",H3="Life-Threatening"),"Yes","No")</f>
        <v>No</v>
      </c>
      <c r="M3" s="12" t="str">
        <f aca="false">IF(B3&lt;18,"0-17",IF(B3&lt;40,"18-39",IF(B3&lt;60,"40-59","60+")))</f>
        <v>60+</v>
      </c>
      <c r="N3" s="12" t="str">
        <f aca="false">IF(I3&lt;=1,"0-1 days",IF(I3&lt;=7,"2-7 days",IF(I3&lt;=30,"8-30 days","&gt;30 days")))</f>
        <v>0-1 days</v>
      </c>
    </row>
    <row r="4" customFormat="false" ht="15" hidden="false" customHeight="false" outlineLevel="0" collapsed="false">
      <c r="A4" s="12" t="s">
        <v>49</v>
      </c>
      <c r="B4" s="12" t="n">
        <v>17</v>
      </c>
      <c r="C4" s="12" t="s">
        <v>34</v>
      </c>
      <c r="D4" s="12" t="s">
        <v>50</v>
      </c>
      <c r="E4" s="12" t="s">
        <v>51</v>
      </c>
      <c r="F4" s="12" t="s">
        <v>52</v>
      </c>
      <c r="G4" s="12" t="s">
        <v>53</v>
      </c>
      <c r="H4" s="12" t="s">
        <v>39</v>
      </c>
      <c r="I4" s="12" t="n">
        <v>30</v>
      </c>
      <c r="J4" s="12" t="s">
        <v>40</v>
      </c>
      <c r="K4" s="12" t="s">
        <v>48</v>
      </c>
      <c r="L4" s="12" t="str">
        <f aca="false">IF(OR(H4="Severe",H4="Life-Threatening"),"Yes","No")</f>
        <v>No</v>
      </c>
      <c r="M4" s="12" t="str">
        <f aca="false">IF(B4&lt;18,"0-17",IF(B4&lt;40,"18-39",IF(B4&lt;60,"40-59","60+")))</f>
        <v>0-17</v>
      </c>
      <c r="N4" s="12" t="str">
        <f aca="false">IF(I4&lt;=1,"0-1 days",IF(I4&lt;=7,"2-7 days",IF(I4&lt;=30,"8-30 days","&gt;30 days")))</f>
        <v>8-30 days</v>
      </c>
    </row>
    <row r="5" customFormat="false" ht="15" hidden="false" customHeight="false" outlineLevel="0" collapsed="false">
      <c r="A5" s="12" t="s">
        <v>54</v>
      </c>
      <c r="B5" s="12" t="n">
        <v>48</v>
      </c>
      <c r="C5" s="12" t="s">
        <v>43</v>
      </c>
      <c r="D5" s="12" t="s">
        <v>55</v>
      </c>
      <c r="E5" s="12" t="s">
        <v>56</v>
      </c>
      <c r="F5" s="12" t="s">
        <v>57</v>
      </c>
      <c r="G5" s="12" t="s">
        <v>58</v>
      </c>
      <c r="H5" s="12" t="s">
        <v>59</v>
      </c>
      <c r="I5" s="12" t="n">
        <v>1</v>
      </c>
      <c r="J5" s="12" t="s">
        <v>40</v>
      </c>
      <c r="K5" s="12" t="s">
        <v>48</v>
      </c>
      <c r="L5" s="12" t="str">
        <f aca="false">IF(OR(H5="Severe",H5="Life-Threatening"),"Yes","No")</f>
        <v>Yes</v>
      </c>
      <c r="M5" s="12" t="str">
        <f aca="false">IF(B5&lt;18,"0-17",IF(B5&lt;40,"18-39",IF(B5&lt;60,"40-59","60+")))</f>
        <v>40-59</v>
      </c>
      <c r="N5" s="12" t="str">
        <f aca="false">IF(I5&lt;=1,"0-1 days",IF(I5&lt;=7,"2-7 days",IF(I5&lt;=30,"8-30 days","&gt;30 days")))</f>
        <v>0-1 days</v>
      </c>
    </row>
    <row r="6" customFormat="false" ht="15" hidden="false" customHeight="false" outlineLevel="0" collapsed="false">
      <c r="A6" s="12" t="s">
        <v>60</v>
      </c>
      <c r="B6" s="12" t="n">
        <v>43</v>
      </c>
      <c r="C6" s="12" t="s">
        <v>43</v>
      </c>
      <c r="D6" s="12" t="s">
        <v>35</v>
      </c>
      <c r="E6" s="12" t="s">
        <v>61</v>
      </c>
      <c r="F6" s="12" t="s">
        <v>62</v>
      </c>
      <c r="G6" s="12" t="s">
        <v>53</v>
      </c>
      <c r="H6" s="12" t="s">
        <v>39</v>
      </c>
      <c r="I6" s="12" t="n">
        <v>3</v>
      </c>
      <c r="J6" s="12" t="s">
        <v>40</v>
      </c>
      <c r="K6" s="12" t="s">
        <v>63</v>
      </c>
      <c r="L6" s="12" t="str">
        <f aca="false">IF(OR(H6="Severe",H6="Life-Threatening"),"Yes","No")</f>
        <v>No</v>
      </c>
      <c r="M6" s="12" t="str">
        <f aca="false">IF(B6&lt;18,"0-17",IF(B6&lt;40,"18-39",IF(B6&lt;60,"40-59","60+")))</f>
        <v>40-59</v>
      </c>
      <c r="N6" s="12" t="str">
        <f aca="false">IF(I6&lt;=1,"0-1 days",IF(I6&lt;=7,"2-7 days",IF(I6&lt;=30,"8-30 days","&gt;30 days")))</f>
        <v>2-7 days</v>
      </c>
    </row>
    <row r="7" customFormat="false" ht="15" hidden="false" customHeight="false" outlineLevel="0" collapsed="false">
      <c r="A7" s="12" t="s">
        <v>64</v>
      </c>
      <c r="B7" s="12" t="n">
        <v>13</v>
      </c>
      <c r="C7" s="12" t="s">
        <v>43</v>
      </c>
      <c r="D7" s="12" t="s">
        <v>35</v>
      </c>
      <c r="E7" s="12" t="s">
        <v>65</v>
      </c>
      <c r="F7" s="12" t="s">
        <v>66</v>
      </c>
      <c r="G7" s="12" t="s">
        <v>38</v>
      </c>
      <c r="H7" s="12" t="s">
        <v>39</v>
      </c>
      <c r="I7" s="12" t="n">
        <v>7</v>
      </c>
      <c r="J7" s="12" t="s">
        <v>67</v>
      </c>
      <c r="K7" s="12" t="s">
        <v>48</v>
      </c>
      <c r="L7" s="12" t="str">
        <f aca="false">IF(OR(H7="Severe",H7="Life-Threatening"),"Yes","No")</f>
        <v>No</v>
      </c>
      <c r="M7" s="12" t="str">
        <f aca="false">IF(B7&lt;18,"0-17",IF(B7&lt;40,"18-39",IF(B7&lt;60,"40-59","60+")))</f>
        <v>0-17</v>
      </c>
      <c r="N7" s="12" t="str">
        <f aca="false">IF(I7&lt;=1,"0-1 days",IF(I7&lt;=7,"2-7 days",IF(I7&lt;=30,"8-30 days","&gt;30 days")))</f>
        <v>2-7 days</v>
      </c>
    </row>
    <row r="8" customFormat="false" ht="15" hidden="false" customHeight="false" outlineLevel="0" collapsed="false">
      <c r="A8" s="12" t="s">
        <v>68</v>
      </c>
      <c r="B8" s="12" t="n">
        <v>21</v>
      </c>
      <c r="C8" s="12" t="s">
        <v>43</v>
      </c>
      <c r="D8" s="12" t="s">
        <v>69</v>
      </c>
      <c r="E8" s="12" t="s">
        <v>70</v>
      </c>
      <c r="F8" s="12" t="s">
        <v>71</v>
      </c>
      <c r="G8" s="12" t="s">
        <v>72</v>
      </c>
      <c r="H8" s="12" t="s">
        <v>39</v>
      </c>
      <c r="I8" s="12" t="n">
        <v>0</v>
      </c>
      <c r="J8" s="12" t="s">
        <v>40</v>
      </c>
      <c r="K8" s="12" t="s">
        <v>63</v>
      </c>
      <c r="L8" s="12" t="str">
        <f aca="false">IF(OR(H8="Severe",H8="Life-Threatening"),"Yes","No")</f>
        <v>No</v>
      </c>
      <c r="M8" s="12" t="str">
        <f aca="false">IF(B8&lt;18,"0-17",IF(B8&lt;40,"18-39",IF(B8&lt;60,"40-59","60+")))</f>
        <v>18-39</v>
      </c>
      <c r="N8" s="12" t="str">
        <f aca="false">IF(I8&lt;=1,"0-1 days",IF(I8&lt;=7,"2-7 days",IF(I8&lt;=30,"8-30 days","&gt;30 days")))</f>
        <v>0-1 days</v>
      </c>
    </row>
    <row r="9" customFormat="false" ht="15" hidden="false" customHeight="false" outlineLevel="0" collapsed="false">
      <c r="A9" s="12" t="s">
        <v>73</v>
      </c>
      <c r="B9" s="12" t="n">
        <v>47</v>
      </c>
      <c r="C9" s="12" t="s">
        <v>34</v>
      </c>
      <c r="D9" s="12" t="s">
        <v>55</v>
      </c>
      <c r="E9" s="12" t="s">
        <v>74</v>
      </c>
      <c r="F9" s="12" t="s">
        <v>75</v>
      </c>
      <c r="G9" s="12" t="s">
        <v>58</v>
      </c>
      <c r="H9" s="12" t="s">
        <v>76</v>
      </c>
      <c r="I9" s="12" t="n">
        <v>1</v>
      </c>
      <c r="J9" s="12" t="s">
        <v>40</v>
      </c>
      <c r="K9" s="12" t="s">
        <v>48</v>
      </c>
      <c r="L9" s="12" t="str">
        <f aca="false">IF(OR(H9="Severe",H9="Life-Threatening"),"Yes","No")</f>
        <v>Yes</v>
      </c>
      <c r="M9" s="12" t="str">
        <f aca="false">IF(B9&lt;18,"0-17",IF(B9&lt;40,"18-39",IF(B9&lt;60,"40-59","60+")))</f>
        <v>40-59</v>
      </c>
      <c r="N9" s="12" t="str">
        <f aca="false">IF(I9&lt;=1,"0-1 days",IF(I9&lt;=7,"2-7 days",IF(I9&lt;=30,"8-30 days","&gt;30 days")))</f>
        <v>0-1 days</v>
      </c>
    </row>
    <row r="10" customFormat="false" ht="15" hidden="false" customHeight="false" outlineLevel="0" collapsed="false">
      <c r="A10" s="12" t="s">
        <v>77</v>
      </c>
      <c r="B10" s="12" t="n">
        <v>60</v>
      </c>
      <c r="C10" s="12" t="s">
        <v>43</v>
      </c>
      <c r="D10" s="12" t="s">
        <v>55</v>
      </c>
      <c r="E10" s="12" t="s">
        <v>78</v>
      </c>
      <c r="F10" s="12" t="s">
        <v>79</v>
      </c>
      <c r="G10" s="12" t="s">
        <v>80</v>
      </c>
      <c r="H10" s="12" t="s">
        <v>59</v>
      </c>
      <c r="I10" s="12" t="n">
        <v>16</v>
      </c>
      <c r="J10" s="12" t="s">
        <v>67</v>
      </c>
      <c r="K10" s="12" t="s">
        <v>48</v>
      </c>
      <c r="L10" s="12" t="str">
        <f aca="false">IF(OR(H10="Severe",H10="Life-Threatening"),"Yes","No")</f>
        <v>Yes</v>
      </c>
      <c r="M10" s="12" t="str">
        <f aca="false">IF(B10&lt;18,"0-17",IF(B10&lt;40,"18-39",IF(B10&lt;60,"40-59","60+")))</f>
        <v>60+</v>
      </c>
      <c r="N10" s="12" t="str">
        <f aca="false">IF(I10&lt;=1,"0-1 days",IF(I10&lt;=7,"2-7 days",IF(I10&lt;=30,"8-30 days","&gt;30 days")))</f>
        <v>8-30 days</v>
      </c>
    </row>
    <row r="11" customFormat="false" ht="15" hidden="false" customHeight="false" outlineLevel="0" collapsed="false">
      <c r="A11" s="12" t="s">
        <v>81</v>
      </c>
      <c r="B11" s="12" t="n">
        <v>46</v>
      </c>
      <c r="C11" s="12" t="s">
        <v>34</v>
      </c>
      <c r="D11" s="12" t="s">
        <v>82</v>
      </c>
      <c r="E11" s="12" t="s">
        <v>83</v>
      </c>
      <c r="F11" s="12" t="s">
        <v>45</v>
      </c>
      <c r="G11" s="12" t="s">
        <v>38</v>
      </c>
      <c r="H11" s="12" t="s">
        <v>46</v>
      </c>
      <c r="I11" s="12" t="n">
        <v>6</v>
      </c>
      <c r="J11" s="12" t="s">
        <v>40</v>
      </c>
      <c r="K11" s="12" t="s">
        <v>63</v>
      </c>
      <c r="L11" s="12" t="str">
        <f aca="false">IF(OR(H11="Severe",H11="Life-Threatening"),"Yes","No")</f>
        <v>No</v>
      </c>
      <c r="M11" s="12" t="str">
        <f aca="false">IF(B11&lt;18,"0-17",IF(B11&lt;40,"18-39",IF(B11&lt;60,"40-59","60+")))</f>
        <v>40-59</v>
      </c>
      <c r="N11" s="12" t="str">
        <f aca="false">IF(I11&lt;=1,"0-1 days",IF(I11&lt;=7,"2-7 days",IF(I11&lt;=30,"8-30 days","&gt;30 days")))</f>
        <v>2-7 days</v>
      </c>
    </row>
    <row r="12" customFormat="false" ht="15" hidden="false" customHeight="false" outlineLevel="0" collapsed="false">
      <c r="A12" s="12" t="s">
        <v>84</v>
      </c>
      <c r="B12" s="12" t="n">
        <v>52</v>
      </c>
      <c r="C12" s="12" t="s">
        <v>43</v>
      </c>
      <c r="D12" s="12" t="s">
        <v>85</v>
      </c>
      <c r="E12" s="12" t="s">
        <v>86</v>
      </c>
      <c r="F12" s="12" t="s">
        <v>45</v>
      </c>
      <c r="G12" s="12" t="s">
        <v>38</v>
      </c>
      <c r="H12" s="12" t="s">
        <v>46</v>
      </c>
      <c r="I12" s="12" t="n">
        <v>4</v>
      </c>
      <c r="J12" s="12" t="s">
        <v>47</v>
      </c>
      <c r="K12" s="12" t="s">
        <v>48</v>
      </c>
      <c r="L12" s="12" t="str">
        <f aca="false">IF(OR(H12="Severe",H12="Life-Threatening"),"Yes","No")</f>
        <v>No</v>
      </c>
      <c r="M12" s="12" t="str">
        <f aca="false">IF(B12&lt;18,"0-17",IF(B12&lt;40,"18-39",IF(B12&lt;60,"40-59","60+")))</f>
        <v>40-59</v>
      </c>
      <c r="N12" s="12" t="str">
        <f aca="false">IF(I12&lt;=1,"0-1 days",IF(I12&lt;=7,"2-7 days",IF(I12&lt;=30,"8-30 days","&gt;30 days")))</f>
        <v>2-7 days</v>
      </c>
    </row>
    <row r="13" customFormat="false" ht="15" hidden="false" customHeight="false" outlineLevel="0" collapsed="false">
      <c r="A13" s="12" t="s">
        <v>87</v>
      </c>
      <c r="B13" s="12" t="n">
        <v>33</v>
      </c>
      <c r="C13" s="12" t="s">
        <v>43</v>
      </c>
      <c r="D13" s="12" t="s">
        <v>88</v>
      </c>
      <c r="E13" s="12" t="s">
        <v>89</v>
      </c>
      <c r="F13" s="12" t="s">
        <v>37</v>
      </c>
      <c r="G13" s="12" t="s">
        <v>38</v>
      </c>
      <c r="H13" s="12" t="s">
        <v>39</v>
      </c>
      <c r="I13" s="12" t="n">
        <v>3</v>
      </c>
      <c r="J13" s="12" t="s">
        <v>40</v>
      </c>
      <c r="K13" s="12" t="s">
        <v>63</v>
      </c>
      <c r="L13" s="12" t="str">
        <f aca="false">IF(OR(H13="Severe",H13="Life-Threatening"),"Yes","No")</f>
        <v>No</v>
      </c>
      <c r="M13" s="12" t="str">
        <f aca="false">IF(B13&lt;18,"0-17",IF(B13&lt;40,"18-39",IF(B13&lt;60,"40-59","60+")))</f>
        <v>18-39</v>
      </c>
      <c r="N13" s="12" t="str">
        <f aca="false">IF(I13&lt;=1,"0-1 days",IF(I13&lt;=7,"2-7 days",IF(I13&lt;=30,"8-30 days","&gt;30 days")))</f>
        <v>2-7 days</v>
      </c>
    </row>
    <row r="14" customFormat="false" ht="15" hidden="false" customHeight="false" outlineLevel="0" collapsed="false">
      <c r="A14" s="12" t="s">
        <v>90</v>
      </c>
      <c r="B14" s="12" t="n">
        <v>22</v>
      </c>
      <c r="C14" s="12" t="s">
        <v>43</v>
      </c>
      <c r="D14" s="12" t="s">
        <v>91</v>
      </c>
      <c r="E14" s="12" t="s">
        <v>92</v>
      </c>
      <c r="F14" s="12" t="s">
        <v>93</v>
      </c>
      <c r="G14" s="12" t="s">
        <v>94</v>
      </c>
      <c r="H14" s="12" t="s">
        <v>39</v>
      </c>
      <c r="I14" s="12" t="n">
        <v>28</v>
      </c>
      <c r="J14" s="12" t="s">
        <v>40</v>
      </c>
      <c r="K14" s="12" t="s">
        <v>63</v>
      </c>
      <c r="L14" s="12" t="str">
        <f aca="false">IF(OR(H14="Severe",H14="Life-Threatening"),"Yes","No")</f>
        <v>No</v>
      </c>
      <c r="M14" s="12" t="str">
        <f aca="false">IF(B14&lt;18,"0-17",IF(B14&lt;40,"18-39",IF(B14&lt;60,"40-59","60+")))</f>
        <v>18-39</v>
      </c>
      <c r="N14" s="12" t="str">
        <f aca="false">IF(I14&lt;=1,"0-1 days",IF(I14&lt;=7,"2-7 days",IF(I14&lt;=30,"8-30 days","&gt;30 days")))</f>
        <v>8-30 days</v>
      </c>
    </row>
    <row r="15" customFormat="false" ht="15" hidden="false" customHeight="false" outlineLevel="0" collapsed="false">
      <c r="A15" s="12" t="s">
        <v>95</v>
      </c>
      <c r="B15" s="12" t="n">
        <v>49</v>
      </c>
      <c r="C15" s="12" t="s">
        <v>43</v>
      </c>
      <c r="D15" s="12" t="s">
        <v>50</v>
      </c>
      <c r="E15" s="12" t="s">
        <v>96</v>
      </c>
      <c r="F15" s="12" t="s">
        <v>97</v>
      </c>
      <c r="G15" s="12" t="s">
        <v>94</v>
      </c>
      <c r="H15" s="12" t="s">
        <v>76</v>
      </c>
      <c r="I15" s="12" t="n">
        <v>2</v>
      </c>
      <c r="J15" s="12" t="s">
        <v>40</v>
      </c>
      <c r="K15" s="12" t="s">
        <v>48</v>
      </c>
      <c r="L15" s="12" t="str">
        <f aca="false">IF(OR(H15="Severe",H15="Life-Threatening"),"Yes","No")</f>
        <v>Yes</v>
      </c>
      <c r="M15" s="12" t="str">
        <f aca="false">IF(B15&lt;18,"0-17",IF(B15&lt;40,"18-39",IF(B15&lt;60,"40-59","60+")))</f>
        <v>40-59</v>
      </c>
      <c r="N15" s="12" t="str">
        <f aca="false">IF(I15&lt;=1,"0-1 days",IF(I15&lt;=7,"2-7 days",IF(I15&lt;=30,"8-30 days","&gt;30 days")))</f>
        <v>2-7 days</v>
      </c>
    </row>
    <row r="16" customFormat="false" ht="15" hidden="false" customHeight="false" outlineLevel="0" collapsed="false">
      <c r="A16" s="12" t="s">
        <v>98</v>
      </c>
      <c r="B16" s="12" t="n">
        <v>42</v>
      </c>
      <c r="C16" s="12" t="s">
        <v>43</v>
      </c>
      <c r="D16" s="12" t="s">
        <v>99</v>
      </c>
      <c r="E16" s="12" t="s">
        <v>56</v>
      </c>
      <c r="F16" s="12" t="s">
        <v>100</v>
      </c>
      <c r="G16" s="12" t="s">
        <v>72</v>
      </c>
      <c r="H16" s="12" t="s">
        <v>46</v>
      </c>
      <c r="I16" s="12" t="n">
        <v>26</v>
      </c>
      <c r="J16" s="12" t="s">
        <v>40</v>
      </c>
      <c r="K16" s="12" t="s">
        <v>63</v>
      </c>
      <c r="L16" s="12" t="str">
        <f aca="false">IF(OR(H16="Severe",H16="Life-Threatening"),"Yes","No")</f>
        <v>No</v>
      </c>
      <c r="M16" s="12" t="str">
        <f aca="false">IF(B16&lt;18,"0-17",IF(B16&lt;40,"18-39",IF(B16&lt;60,"40-59","60+")))</f>
        <v>40-59</v>
      </c>
      <c r="N16" s="12" t="str">
        <f aca="false">IF(I16&lt;=1,"0-1 days",IF(I16&lt;=7,"2-7 days",IF(I16&lt;=30,"8-30 days","&gt;30 days")))</f>
        <v>8-30 days</v>
      </c>
    </row>
    <row r="17" customFormat="false" ht="15" hidden="false" customHeight="false" outlineLevel="0" collapsed="false">
      <c r="A17" s="12" t="s">
        <v>101</v>
      </c>
      <c r="B17" s="12" t="n">
        <v>5</v>
      </c>
      <c r="C17" s="12" t="s">
        <v>43</v>
      </c>
      <c r="D17" s="12" t="s">
        <v>102</v>
      </c>
      <c r="E17" s="12" t="s">
        <v>86</v>
      </c>
      <c r="F17" s="12" t="s">
        <v>103</v>
      </c>
      <c r="G17" s="12" t="s">
        <v>104</v>
      </c>
      <c r="H17" s="12" t="s">
        <v>76</v>
      </c>
      <c r="I17" s="12" t="n">
        <v>28</v>
      </c>
      <c r="J17" s="12" t="s">
        <v>105</v>
      </c>
      <c r="K17" s="12" t="s">
        <v>41</v>
      </c>
      <c r="L17" s="12" t="str">
        <f aca="false">IF(OR(H17="Severe",H17="Life-Threatening"),"Yes","No")</f>
        <v>Yes</v>
      </c>
      <c r="M17" s="12" t="str">
        <f aca="false">IF(B17&lt;18,"0-17",IF(B17&lt;40,"18-39",IF(B17&lt;60,"40-59","60+")))</f>
        <v>0-17</v>
      </c>
      <c r="N17" s="12" t="str">
        <f aca="false">IF(I17&lt;=1,"0-1 days",IF(I17&lt;=7,"2-7 days",IF(I17&lt;=30,"8-30 days","&gt;30 days")))</f>
        <v>8-30 days</v>
      </c>
    </row>
    <row r="18" customFormat="false" ht="15" hidden="false" customHeight="false" outlineLevel="0" collapsed="false">
      <c r="A18" s="12" t="s">
        <v>106</v>
      </c>
      <c r="B18" s="12" t="n">
        <v>45</v>
      </c>
      <c r="C18" s="12" t="s">
        <v>43</v>
      </c>
      <c r="D18" s="12" t="s">
        <v>35</v>
      </c>
      <c r="E18" s="12" t="s">
        <v>107</v>
      </c>
      <c r="F18" s="12" t="s">
        <v>108</v>
      </c>
      <c r="G18" s="12" t="s">
        <v>38</v>
      </c>
      <c r="H18" s="12" t="s">
        <v>39</v>
      </c>
      <c r="I18" s="12" t="n">
        <v>30</v>
      </c>
      <c r="J18" s="12" t="s">
        <v>47</v>
      </c>
      <c r="K18" s="12" t="s">
        <v>48</v>
      </c>
      <c r="L18" s="12" t="str">
        <f aca="false">IF(OR(H18="Severe",H18="Life-Threatening"),"Yes","No")</f>
        <v>No</v>
      </c>
      <c r="M18" s="12" t="str">
        <f aca="false">IF(B18&lt;18,"0-17",IF(B18&lt;40,"18-39",IF(B18&lt;60,"40-59","60+")))</f>
        <v>40-59</v>
      </c>
      <c r="N18" s="12" t="str">
        <f aca="false">IF(I18&lt;=1,"0-1 days",IF(I18&lt;=7,"2-7 days",IF(I18&lt;=30,"8-30 days","&gt;30 days")))</f>
        <v>8-30 days</v>
      </c>
    </row>
    <row r="19" customFormat="false" ht="15" hidden="false" customHeight="false" outlineLevel="0" collapsed="false">
      <c r="A19" s="12" t="s">
        <v>109</v>
      </c>
      <c r="B19" s="12" t="n">
        <v>41</v>
      </c>
      <c r="C19" s="12" t="s">
        <v>43</v>
      </c>
      <c r="D19" s="12" t="s">
        <v>35</v>
      </c>
      <c r="E19" s="12" t="s">
        <v>110</v>
      </c>
      <c r="F19" s="12" t="s">
        <v>71</v>
      </c>
      <c r="G19" s="12" t="s">
        <v>72</v>
      </c>
      <c r="H19" s="12" t="s">
        <v>76</v>
      </c>
      <c r="I19" s="12" t="n">
        <v>1</v>
      </c>
      <c r="J19" s="12" t="s">
        <v>47</v>
      </c>
      <c r="K19" s="12" t="s">
        <v>48</v>
      </c>
      <c r="L19" s="12" t="str">
        <f aca="false">IF(OR(H19="Severe",H19="Life-Threatening"),"Yes","No")</f>
        <v>Yes</v>
      </c>
      <c r="M19" s="12" t="str">
        <f aca="false">IF(B19&lt;18,"0-17",IF(B19&lt;40,"18-39",IF(B19&lt;60,"40-59","60+")))</f>
        <v>40-59</v>
      </c>
      <c r="N19" s="12" t="str">
        <f aca="false">IF(I19&lt;=1,"0-1 days",IF(I19&lt;=7,"2-7 days",IF(I19&lt;=30,"8-30 days","&gt;30 days")))</f>
        <v>0-1 days</v>
      </c>
    </row>
    <row r="20" customFormat="false" ht="15" hidden="false" customHeight="false" outlineLevel="0" collapsed="false">
      <c r="A20" s="12" t="s">
        <v>111</v>
      </c>
      <c r="B20" s="12" t="n">
        <v>63</v>
      </c>
      <c r="C20" s="12" t="s">
        <v>43</v>
      </c>
      <c r="D20" s="12" t="s">
        <v>112</v>
      </c>
      <c r="E20" s="12" t="s">
        <v>113</v>
      </c>
      <c r="F20" s="12" t="s">
        <v>114</v>
      </c>
      <c r="G20" s="12" t="s">
        <v>115</v>
      </c>
      <c r="H20" s="12" t="s">
        <v>76</v>
      </c>
      <c r="I20" s="12" t="n">
        <v>8</v>
      </c>
      <c r="J20" s="12" t="s">
        <v>40</v>
      </c>
      <c r="K20" s="12" t="s">
        <v>48</v>
      </c>
      <c r="L20" s="12" t="str">
        <f aca="false">IF(OR(H20="Severe",H20="Life-Threatening"),"Yes","No")</f>
        <v>Yes</v>
      </c>
      <c r="M20" s="12" t="str">
        <f aca="false">IF(B20&lt;18,"0-17",IF(B20&lt;40,"18-39",IF(B20&lt;60,"40-59","60+")))</f>
        <v>60+</v>
      </c>
      <c r="N20" s="12" t="str">
        <f aca="false">IF(I20&lt;=1,"0-1 days",IF(I20&lt;=7,"2-7 days",IF(I20&lt;=30,"8-30 days","&gt;30 days")))</f>
        <v>8-30 days</v>
      </c>
    </row>
    <row r="21" customFormat="false" ht="15" hidden="false" customHeight="false" outlineLevel="0" collapsed="false">
      <c r="A21" s="12" t="s">
        <v>116</v>
      </c>
      <c r="B21" s="12" t="n">
        <v>52</v>
      </c>
      <c r="C21" s="12" t="s">
        <v>43</v>
      </c>
      <c r="D21" s="12" t="s">
        <v>117</v>
      </c>
      <c r="E21" s="12" t="s">
        <v>118</v>
      </c>
      <c r="F21" s="12" t="s">
        <v>45</v>
      </c>
      <c r="G21" s="12" t="s">
        <v>38</v>
      </c>
      <c r="H21" s="12" t="s">
        <v>39</v>
      </c>
      <c r="I21" s="12" t="n">
        <v>8</v>
      </c>
      <c r="J21" s="12" t="s">
        <v>40</v>
      </c>
      <c r="K21" s="12" t="s">
        <v>63</v>
      </c>
      <c r="L21" s="12" t="str">
        <f aca="false">IF(OR(H21="Severe",H21="Life-Threatening"),"Yes","No")</f>
        <v>No</v>
      </c>
      <c r="M21" s="12" t="str">
        <f aca="false">IF(B21&lt;18,"0-17",IF(B21&lt;40,"18-39",IF(B21&lt;60,"40-59","60+")))</f>
        <v>40-59</v>
      </c>
      <c r="N21" s="12" t="str">
        <f aca="false">IF(I21&lt;=1,"0-1 days",IF(I21&lt;=7,"2-7 days",IF(I21&lt;=30,"8-30 days","&gt;30 days")))</f>
        <v>8-30 days</v>
      </c>
    </row>
    <row r="22" customFormat="false" ht="15" hidden="false" customHeight="false" outlineLevel="0" collapsed="false">
      <c r="A22" s="12" t="s">
        <v>119</v>
      </c>
      <c r="B22" s="12" t="n">
        <v>64</v>
      </c>
      <c r="C22" s="12" t="s">
        <v>34</v>
      </c>
      <c r="D22" s="12" t="s">
        <v>120</v>
      </c>
      <c r="E22" s="12" t="s">
        <v>121</v>
      </c>
      <c r="F22" s="12" t="s">
        <v>45</v>
      </c>
      <c r="G22" s="12" t="s">
        <v>38</v>
      </c>
      <c r="H22" s="12" t="s">
        <v>46</v>
      </c>
      <c r="I22" s="12" t="n">
        <v>18</v>
      </c>
      <c r="J22" s="12" t="s">
        <v>47</v>
      </c>
      <c r="K22" s="12" t="s">
        <v>63</v>
      </c>
      <c r="L22" s="12" t="str">
        <f aca="false">IF(OR(H22="Severe",H22="Life-Threatening"),"Yes","No")</f>
        <v>No</v>
      </c>
      <c r="M22" s="12" t="str">
        <f aca="false">IF(B22&lt;18,"0-17",IF(B22&lt;40,"18-39",IF(B22&lt;60,"40-59","60+")))</f>
        <v>60+</v>
      </c>
      <c r="N22" s="12" t="str">
        <f aca="false">IF(I22&lt;=1,"0-1 days",IF(I22&lt;=7,"2-7 days",IF(I22&lt;=30,"8-30 days","&gt;30 days")))</f>
        <v>8-30 days</v>
      </c>
    </row>
    <row r="23" customFormat="false" ht="15" hidden="false" customHeight="false" outlineLevel="0" collapsed="false">
      <c r="A23" s="12" t="s">
        <v>122</v>
      </c>
      <c r="B23" s="12" t="n">
        <v>45</v>
      </c>
      <c r="C23" s="12" t="s">
        <v>43</v>
      </c>
      <c r="D23" s="12" t="s">
        <v>123</v>
      </c>
      <c r="E23" s="12" t="s">
        <v>124</v>
      </c>
      <c r="F23" s="12" t="s">
        <v>62</v>
      </c>
      <c r="G23" s="12" t="s">
        <v>53</v>
      </c>
      <c r="H23" s="12" t="s">
        <v>39</v>
      </c>
      <c r="I23" s="12" t="n">
        <v>24</v>
      </c>
      <c r="J23" s="12" t="s">
        <v>47</v>
      </c>
      <c r="K23" s="12" t="s">
        <v>48</v>
      </c>
      <c r="L23" s="12" t="str">
        <f aca="false">IF(OR(H23="Severe",H23="Life-Threatening"),"Yes","No")</f>
        <v>No</v>
      </c>
      <c r="M23" s="12" t="str">
        <f aca="false">IF(B23&lt;18,"0-17",IF(B23&lt;40,"18-39",IF(B23&lt;60,"40-59","60+")))</f>
        <v>40-59</v>
      </c>
      <c r="N23" s="12" t="str">
        <f aca="false">IF(I23&lt;=1,"0-1 days",IF(I23&lt;=7,"2-7 days",IF(I23&lt;=30,"8-30 days","&gt;30 days")))</f>
        <v>8-30 days</v>
      </c>
    </row>
    <row r="24" customFormat="false" ht="15" hidden="false" customHeight="false" outlineLevel="0" collapsed="false">
      <c r="A24" s="12" t="s">
        <v>125</v>
      </c>
      <c r="B24" s="12" t="n">
        <v>36</v>
      </c>
      <c r="C24" s="12" t="s">
        <v>34</v>
      </c>
      <c r="D24" s="12" t="s">
        <v>126</v>
      </c>
      <c r="E24" s="12" t="s">
        <v>127</v>
      </c>
      <c r="F24" s="12" t="s">
        <v>128</v>
      </c>
      <c r="G24" s="12" t="s">
        <v>53</v>
      </c>
      <c r="H24" s="12" t="s">
        <v>46</v>
      </c>
      <c r="I24" s="12" t="n">
        <v>29</v>
      </c>
      <c r="J24" s="12" t="s">
        <v>47</v>
      </c>
      <c r="K24" s="12" t="s">
        <v>48</v>
      </c>
      <c r="L24" s="12" t="str">
        <f aca="false">IF(OR(H24="Severe",H24="Life-Threatening"),"Yes","No")</f>
        <v>No</v>
      </c>
      <c r="M24" s="12" t="str">
        <f aca="false">IF(B24&lt;18,"0-17",IF(B24&lt;40,"18-39",IF(B24&lt;60,"40-59","60+")))</f>
        <v>18-39</v>
      </c>
      <c r="N24" s="12" t="str">
        <f aca="false">IF(I24&lt;=1,"0-1 days",IF(I24&lt;=7,"2-7 days",IF(I24&lt;=30,"8-30 days","&gt;30 days")))</f>
        <v>8-30 days</v>
      </c>
    </row>
    <row r="25" customFormat="false" ht="15" hidden="false" customHeight="false" outlineLevel="0" collapsed="false">
      <c r="A25" s="12" t="s">
        <v>129</v>
      </c>
      <c r="B25" s="12" t="n">
        <v>48</v>
      </c>
      <c r="C25" s="12" t="s">
        <v>43</v>
      </c>
      <c r="D25" s="12" t="s">
        <v>35</v>
      </c>
      <c r="E25" s="12" t="s">
        <v>130</v>
      </c>
      <c r="F25" s="12" t="s">
        <v>131</v>
      </c>
      <c r="G25" s="12" t="s">
        <v>94</v>
      </c>
      <c r="H25" s="12" t="s">
        <v>46</v>
      </c>
      <c r="I25" s="12" t="n">
        <v>17</v>
      </c>
      <c r="J25" s="12" t="s">
        <v>40</v>
      </c>
      <c r="K25" s="12" t="s">
        <v>48</v>
      </c>
      <c r="L25" s="12" t="str">
        <f aca="false">IF(OR(H25="Severe",H25="Life-Threatening"),"Yes","No")</f>
        <v>No</v>
      </c>
      <c r="M25" s="12" t="str">
        <f aca="false">IF(B25&lt;18,"0-17",IF(B25&lt;40,"18-39",IF(B25&lt;60,"40-59","60+")))</f>
        <v>40-59</v>
      </c>
      <c r="N25" s="12" t="str">
        <f aca="false">IF(I25&lt;=1,"0-1 days",IF(I25&lt;=7,"2-7 days",IF(I25&lt;=30,"8-30 days","&gt;30 days")))</f>
        <v>8-30 days</v>
      </c>
    </row>
    <row r="26" customFormat="false" ht="15" hidden="false" customHeight="false" outlineLevel="0" collapsed="false">
      <c r="A26" s="12" t="s">
        <v>132</v>
      </c>
      <c r="B26" s="12" t="n">
        <v>57</v>
      </c>
      <c r="C26" s="12" t="s">
        <v>43</v>
      </c>
      <c r="D26" s="12" t="s">
        <v>50</v>
      </c>
      <c r="E26" s="12" t="s">
        <v>61</v>
      </c>
      <c r="F26" s="12" t="s">
        <v>45</v>
      </c>
      <c r="G26" s="12" t="s">
        <v>38</v>
      </c>
      <c r="H26" s="12" t="s">
        <v>46</v>
      </c>
      <c r="I26" s="12" t="n">
        <v>23</v>
      </c>
      <c r="J26" s="12" t="s">
        <v>40</v>
      </c>
      <c r="K26" s="12" t="s">
        <v>48</v>
      </c>
      <c r="L26" s="12" t="str">
        <f aca="false">IF(OR(H26="Severe",H26="Life-Threatening"),"Yes","No")</f>
        <v>No</v>
      </c>
      <c r="M26" s="12" t="str">
        <f aca="false">IF(B26&lt;18,"0-17",IF(B26&lt;40,"18-39",IF(B26&lt;60,"40-59","60+")))</f>
        <v>40-59</v>
      </c>
      <c r="N26" s="12" t="str">
        <f aca="false">IF(I26&lt;=1,"0-1 days",IF(I26&lt;=7,"2-7 days",IF(I26&lt;=30,"8-30 days","&gt;30 days")))</f>
        <v>8-30 days</v>
      </c>
    </row>
    <row r="27" customFormat="false" ht="15" hidden="false" customHeight="false" outlineLevel="0" collapsed="false">
      <c r="A27" s="12" t="s">
        <v>133</v>
      </c>
      <c r="B27" s="12" t="n">
        <v>60</v>
      </c>
      <c r="C27" s="12" t="s">
        <v>43</v>
      </c>
      <c r="D27" s="12" t="s">
        <v>117</v>
      </c>
      <c r="E27" s="12" t="s">
        <v>134</v>
      </c>
      <c r="F27" s="12" t="s">
        <v>135</v>
      </c>
      <c r="G27" s="12" t="s">
        <v>136</v>
      </c>
      <c r="H27" s="12" t="s">
        <v>46</v>
      </c>
      <c r="I27" s="12" t="n">
        <v>19</v>
      </c>
      <c r="J27" s="12" t="s">
        <v>40</v>
      </c>
      <c r="K27" s="12" t="s">
        <v>41</v>
      </c>
      <c r="L27" s="12" t="str">
        <f aca="false">IF(OR(H27="Severe",H27="Life-Threatening"),"Yes","No")</f>
        <v>No</v>
      </c>
      <c r="M27" s="12" t="str">
        <f aca="false">IF(B27&lt;18,"0-17",IF(B27&lt;40,"18-39",IF(B27&lt;60,"40-59","60+")))</f>
        <v>60+</v>
      </c>
      <c r="N27" s="12" t="str">
        <f aca="false">IF(I27&lt;=1,"0-1 days",IF(I27&lt;=7,"2-7 days",IF(I27&lt;=30,"8-30 days","&gt;30 days")))</f>
        <v>8-30 days</v>
      </c>
    </row>
    <row r="28" customFormat="false" ht="15" hidden="false" customHeight="false" outlineLevel="0" collapsed="false">
      <c r="A28" s="12" t="s">
        <v>137</v>
      </c>
      <c r="B28" s="12" t="n">
        <v>61</v>
      </c>
      <c r="C28" s="12" t="s">
        <v>34</v>
      </c>
      <c r="D28" s="12" t="s">
        <v>55</v>
      </c>
      <c r="E28" s="12" t="s">
        <v>138</v>
      </c>
      <c r="F28" s="12" t="s">
        <v>139</v>
      </c>
      <c r="G28" s="12" t="s">
        <v>38</v>
      </c>
      <c r="H28" s="12" t="s">
        <v>46</v>
      </c>
      <c r="I28" s="12" t="n">
        <v>2</v>
      </c>
      <c r="J28" s="12" t="s">
        <v>40</v>
      </c>
      <c r="K28" s="12" t="s">
        <v>48</v>
      </c>
      <c r="L28" s="12" t="str">
        <f aca="false">IF(OR(H28="Severe",H28="Life-Threatening"),"Yes","No")</f>
        <v>No</v>
      </c>
      <c r="M28" s="12" t="str">
        <f aca="false">IF(B28&lt;18,"0-17",IF(B28&lt;40,"18-39",IF(B28&lt;60,"40-59","60+")))</f>
        <v>60+</v>
      </c>
      <c r="N28" s="12" t="str">
        <f aca="false">IF(I28&lt;=1,"0-1 days",IF(I28&lt;=7,"2-7 days",IF(I28&lt;=30,"8-30 days","&gt;30 days")))</f>
        <v>2-7 days</v>
      </c>
    </row>
    <row r="29" customFormat="false" ht="15" hidden="false" customHeight="false" outlineLevel="0" collapsed="false">
      <c r="A29" s="12" t="s">
        <v>140</v>
      </c>
      <c r="B29" s="12" t="n">
        <v>18</v>
      </c>
      <c r="C29" s="12" t="s">
        <v>34</v>
      </c>
      <c r="D29" s="12" t="s">
        <v>35</v>
      </c>
      <c r="E29" s="12" t="s">
        <v>141</v>
      </c>
      <c r="F29" s="12" t="s">
        <v>142</v>
      </c>
      <c r="G29" s="12" t="s">
        <v>38</v>
      </c>
      <c r="H29" s="12" t="s">
        <v>46</v>
      </c>
      <c r="I29" s="12" t="n">
        <v>7</v>
      </c>
      <c r="J29" s="12" t="s">
        <v>40</v>
      </c>
      <c r="K29" s="12" t="s">
        <v>63</v>
      </c>
      <c r="L29" s="12" t="str">
        <f aca="false">IF(OR(H29="Severe",H29="Life-Threatening"),"Yes","No")</f>
        <v>No</v>
      </c>
      <c r="M29" s="12" t="str">
        <f aca="false">IF(B29&lt;18,"0-17",IF(B29&lt;40,"18-39",IF(B29&lt;60,"40-59","60+")))</f>
        <v>18-39</v>
      </c>
      <c r="N29" s="12" t="str">
        <f aca="false">IF(I29&lt;=1,"0-1 days",IF(I29&lt;=7,"2-7 days",IF(I29&lt;=30,"8-30 days","&gt;30 days")))</f>
        <v>2-7 days</v>
      </c>
    </row>
    <row r="30" customFormat="false" ht="15" hidden="false" customHeight="false" outlineLevel="0" collapsed="false">
      <c r="A30" s="12" t="s">
        <v>143</v>
      </c>
      <c r="B30" s="12" t="n">
        <v>50</v>
      </c>
      <c r="C30" s="12" t="s">
        <v>34</v>
      </c>
      <c r="D30" s="12" t="s">
        <v>144</v>
      </c>
      <c r="E30" s="12" t="s">
        <v>51</v>
      </c>
      <c r="F30" s="12" t="s">
        <v>145</v>
      </c>
      <c r="G30" s="12" t="s">
        <v>146</v>
      </c>
      <c r="H30" s="12" t="s">
        <v>39</v>
      </c>
      <c r="I30" s="12" t="n">
        <v>8</v>
      </c>
      <c r="J30" s="12" t="s">
        <v>40</v>
      </c>
      <c r="K30" s="12" t="s">
        <v>147</v>
      </c>
      <c r="L30" s="12" t="str">
        <f aca="false">IF(OR(H30="Severe",H30="Life-Threatening"),"Yes","No")</f>
        <v>No</v>
      </c>
      <c r="M30" s="12" t="str">
        <f aca="false">IF(B30&lt;18,"0-17",IF(B30&lt;40,"18-39",IF(B30&lt;60,"40-59","60+")))</f>
        <v>40-59</v>
      </c>
      <c r="N30" s="12" t="str">
        <f aca="false">IF(I30&lt;=1,"0-1 days",IF(I30&lt;=7,"2-7 days",IF(I30&lt;=30,"8-30 days","&gt;30 days")))</f>
        <v>8-30 days</v>
      </c>
    </row>
    <row r="31" customFormat="false" ht="15" hidden="false" customHeight="false" outlineLevel="0" collapsed="false">
      <c r="A31" s="12" t="s">
        <v>148</v>
      </c>
      <c r="B31" s="12" t="n">
        <v>18</v>
      </c>
      <c r="C31" s="12" t="s">
        <v>34</v>
      </c>
      <c r="D31" s="12" t="s">
        <v>149</v>
      </c>
      <c r="E31" s="12" t="s">
        <v>150</v>
      </c>
      <c r="F31" s="12" t="s">
        <v>151</v>
      </c>
      <c r="G31" s="12" t="s">
        <v>152</v>
      </c>
      <c r="H31" s="12" t="s">
        <v>76</v>
      </c>
      <c r="I31" s="12" t="n">
        <v>0</v>
      </c>
      <c r="J31" s="12" t="s">
        <v>47</v>
      </c>
      <c r="K31" s="12" t="s">
        <v>48</v>
      </c>
      <c r="L31" s="12" t="str">
        <f aca="false">IF(OR(H31="Severe",H31="Life-Threatening"),"Yes","No")</f>
        <v>Yes</v>
      </c>
      <c r="M31" s="12" t="str">
        <f aca="false">IF(B31&lt;18,"0-17",IF(B31&lt;40,"18-39",IF(B31&lt;60,"40-59","60+")))</f>
        <v>18-39</v>
      </c>
      <c r="N31" s="12" t="str">
        <f aca="false">IF(I31&lt;=1,"0-1 days",IF(I31&lt;=7,"2-7 days",IF(I31&lt;=30,"8-30 days","&gt;30 days")))</f>
        <v>0-1 days</v>
      </c>
    </row>
    <row r="32" customFormat="false" ht="15" hidden="false" customHeight="false" outlineLevel="0" collapsed="false">
      <c r="A32" s="12" t="s">
        <v>153</v>
      </c>
      <c r="B32" s="12" t="n">
        <v>62</v>
      </c>
      <c r="C32" s="12" t="s">
        <v>34</v>
      </c>
      <c r="D32" s="12" t="s">
        <v>120</v>
      </c>
      <c r="E32" s="12" t="s">
        <v>96</v>
      </c>
      <c r="F32" s="12" t="s">
        <v>97</v>
      </c>
      <c r="G32" s="12" t="s">
        <v>94</v>
      </c>
      <c r="H32" s="12" t="s">
        <v>39</v>
      </c>
      <c r="I32" s="12" t="n">
        <v>27</v>
      </c>
      <c r="J32" s="12" t="s">
        <v>40</v>
      </c>
      <c r="K32" s="12" t="s">
        <v>63</v>
      </c>
      <c r="L32" s="12" t="str">
        <f aca="false">IF(OR(H32="Severe",H32="Life-Threatening"),"Yes","No")</f>
        <v>No</v>
      </c>
      <c r="M32" s="12" t="str">
        <f aca="false">IF(B32&lt;18,"0-17",IF(B32&lt;40,"18-39",IF(B32&lt;60,"40-59","60+")))</f>
        <v>60+</v>
      </c>
      <c r="N32" s="12" t="str">
        <f aca="false">IF(I32&lt;=1,"0-1 days",IF(I32&lt;=7,"2-7 days",IF(I32&lt;=30,"8-30 days","&gt;30 days")))</f>
        <v>8-30 days</v>
      </c>
    </row>
    <row r="33" customFormat="false" ht="15" hidden="false" customHeight="false" outlineLevel="0" collapsed="false">
      <c r="A33" s="12" t="s">
        <v>154</v>
      </c>
      <c r="B33" s="12" t="n">
        <v>35</v>
      </c>
      <c r="C33" s="12" t="s">
        <v>34</v>
      </c>
      <c r="D33" s="12" t="s">
        <v>155</v>
      </c>
      <c r="E33" s="12" t="s">
        <v>156</v>
      </c>
      <c r="F33" s="12" t="s">
        <v>93</v>
      </c>
      <c r="G33" s="12" t="s">
        <v>94</v>
      </c>
      <c r="H33" s="12" t="s">
        <v>76</v>
      </c>
      <c r="I33" s="12" t="n">
        <v>10</v>
      </c>
      <c r="J33" s="12" t="s">
        <v>40</v>
      </c>
      <c r="K33" s="12" t="s">
        <v>63</v>
      </c>
      <c r="L33" s="12" t="str">
        <f aca="false">IF(OR(H33="Severe",H33="Life-Threatening"),"Yes","No")</f>
        <v>Yes</v>
      </c>
      <c r="M33" s="12" t="str">
        <f aca="false">IF(B33&lt;18,"0-17",IF(B33&lt;40,"18-39",IF(B33&lt;60,"40-59","60+")))</f>
        <v>18-39</v>
      </c>
      <c r="N33" s="12" t="str">
        <f aca="false">IF(I33&lt;=1,"0-1 days",IF(I33&lt;=7,"2-7 days",IF(I33&lt;=30,"8-30 days","&gt;30 days")))</f>
        <v>8-30 days</v>
      </c>
    </row>
    <row r="34" customFormat="false" ht="15" hidden="false" customHeight="false" outlineLevel="0" collapsed="false">
      <c r="A34" s="12" t="s">
        <v>157</v>
      </c>
      <c r="B34" s="12" t="n">
        <v>24</v>
      </c>
      <c r="C34" s="12" t="s">
        <v>34</v>
      </c>
      <c r="D34" s="12" t="s">
        <v>35</v>
      </c>
      <c r="E34" s="12" t="s">
        <v>158</v>
      </c>
      <c r="F34" s="12" t="s">
        <v>62</v>
      </c>
      <c r="G34" s="12" t="s">
        <v>53</v>
      </c>
      <c r="H34" s="12" t="s">
        <v>39</v>
      </c>
      <c r="I34" s="12" t="n">
        <v>22</v>
      </c>
      <c r="J34" s="12" t="s">
        <v>40</v>
      </c>
      <c r="K34" s="12" t="s">
        <v>63</v>
      </c>
      <c r="L34" s="12" t="str">
        <f aca="false">IF(OR(H34="Severe",H34="Life-Threatening"),"Yes","No")</f>
        <v>No</v>
      </c>
      <c r="M34" s="12" t="str">
        <f aca="false">IF(B34&lt;18,"0-17",IF(B34&lt;40,"18-39",IF(B34&lt;60,"40-59","60+")))</f>
        <v>18-39</v>
      </c>
      <c r="N34" s="12" t="str">
        <f aca="false">IF(I34&lt;=1,"0-1 days",IF(I34&lt;=7,"2-7 days",IF(I34&lt;=30,"8-30 days","&gt;30 days")))</f>
        <v>8-30 days</v>
      </c>
    </row>
    <row r="35" customFormat="false" ht="15" hidden="false" customHeight="false" outlineLevel="0" collapsed="false">
      <c r="A35" s="12" t="s">
        <v>159</v>
      </c>
      <c r="B35" s="12" t="n">
        <v>53</v>
      </c>
      <c r="C35" s="12" t="s">
        <v>34</v>
      </c>
      <c r="D35" s="12" t="s">
        <v>155</v>
      </c>
      <c r="E35" s="12" t="s">
        <v>160</v>
      </c>
      <c r="F35" s="12" t="s">
        <v>161</v>
      </c>
      <c r="G35" s="12" t="s">
        <v>53</v>
      </c>
      <c r="H35" s="12" t="s">
        <v>39</v>
      </c>
      <c r="I35" s="12" t="n">
        <v>16</v>
      </c>
      <c r="J35" s="12" t="s">
        <v>40</v>
      </c>
      <c r="K35" s="12" t="s">
        <v>147</v>
      </c>
      <c r="L35" s="12" t="str">
        <f aca="false">IF(OR(H35="Severe",H35="Life-Threatening"),"Yes","No")</f>
        <v>No</v>
      </c>
      <c r="M35" s="12" t="str">
        <f aca="false">IF(B35&lt;18,"0-17",IF(B35&lt;40,"18-39",IF(B35&lt;60,"40-59","60+")))</f>
        <v>40-59</v>
      </c>
      <c r="N35" s="12" t="str">
        <f aca="false">IF(I35&lt;=1,"0-1 days",IF(I35&lt;=7,"2-7 days",IF(I35&lt;=30,"8-30 days","&gt;30 days")))</f>
        <v>8-30 days</v>
      </c>
    </row>
    <row r="36" customFormat="false" ht="15" hidden="false" customHeight="false" outlineLevel="0" collapsed="false">
      <c r="A36" s="12" t="s">
        <v>162</v>
      </c>
      <c r="B36" s="12" t="n">
        <v>58</v>
      </c>
      <c r="C36" s="12" t="s">
        <v>34</v>
      </c>
      <c r="D36" s="12" t="s">
        <v>163</v>
      </c>
      <c r="E36" s="12" t="s">
        <v>164</v>
      </c>
      <c r="F36" s="12" t="s">
        <v>165</v>
      </c>
      <c r="G36" s="12" t="s">
        <v>53</v>
      </c>
      <c r="H36" s="12" t="s">
        <v>46</v>
      </c>
      <c r="I36" s="12" t="n">
        <v>18</v>
      </c>
      <c r="J36" s="12" t="s">
        <v>40</v>
      </c>
      <c r="K36" s="12" t="s">
        <v>48</v>
      </c>
      <c r="L36" s="12" t="str">
        <f aca="false">IF(OR(H36="Severe",H36="Life-Threatening"),"Yes","No")</f>
        <v>No</v>
      </c>
      <c r="M36" s="12" t="str">
        <f aca="false">IF(B36&lt;18,"0-17",IF(B36&lt;40,"18-39",IF(B36&lt;60,"40-59","60+")))</f>
        <v>40-59</v>
      </c>
      <c r="N36" s="12" t="str">
        <f aca="false">IF(I36&lt;=1,"0-1 days",IF(I36&lt;=7,"2-7 days",IF(I36&lt;=30,"8-30 days","&gt;30 days")))</f>
        <v>8-30 days</v>
      </c>
    </row>
    <row r="37" customFormat="false" ht="15" hidden="false" customHeight="false" outlineLevel="0" collapsed="false">
      <c r="A37" s="12" t="s">
        <v>166</v>
      </c>
      <c r="B37" s="12" t="n">
        <v>53</v>
      </c>
      <c r="C37" s="12" t="s">
        <v>43</v>
      </c>
      <c r="D37" s="12" t="s">
        <v>35</v>
      </c>
      <c r="E37" s="12" t="s">
        <v>164</v>
      </c>
      <c r="F37" s="12" t="s">
        <v>165</v>
      </c>
      <c r="G37" s="12" t="s">
        <v>53</v>
      </c>
      <c r="H37" s="12" t="s">
        <v>46</v>
      </c>
      <c r="I37" s="12" t="n">
        <v>28</v>
      </c>
      <c r="J37" s="12" t="s">
        <v>40</v>
      </c>
      <c r="K37" s="12" t="s">
        <v>48</v>
      </c>
      <c r="L37" s="12" t="str">
        <f aca="false">IF(OR(H37="Severe",H37="Life-Threatening"),"Yes","No")</f>
        <v>No</v>
      </c>
      <c r="M37" s="12" t="str">
        <f aca="false">IF(B37&lt;18,"0-17",IF(B37&lt;40,"18-39",IF(B37&lt;60,"40-59","60+")))</f>
        <v>40-59</v>
      </c>
      <c r="N37" s="12" t="str">
        <f aca="false">IF(I37&lt;=1,"0-1 days",IF(I37&lt;=7,"2-7 days",IF(I37&lt;=30,"8-30 days","&gt;30 days")))</f>
        <v>8-30 days</v>
      </c>
    </row>
    <row r="38" customFormat="false" ht="15" hidden="false" customHeight="false" outlineLevel="0" collapsed="false">
      <c r="A38" s="12" t="s">
        <v>167</v>
      </c>
      <c r="B38" s="12" t="n">
        <v>51</v>
      </c>
      <c r="C38" s="12" t="s">
        <v>34</v>
      </c>
      <c r="D38" s="12" t="s">
        <v>168</v>
      </c>
      <c r="E38" s="12" t="s">
        <v>61</v>
      </c>
      <c r="F38" s="12" t="s">
        <v>62</v>
      </c>
      <c r="G38" s="12" t="s">
        <v>53</v>
      </c>
      <c r="H38" s="12" t="s">
        <v>39</v>
      </c>
      <c r="I38" s="12" t="n">
        <v>15</v>
      </c>
      <c r="J38" s="12" t="s">
        <v>169</v>
      </c>
      <c r="K38" s="12" t="s">
        <v>63</v>
      </c>
      <c r="L38" s="12" t="str">
        <f aca="false">IF(OR(H38="Severe",H38="Life-Threatening"),"Yes","No")</f>
        <v>No</v>
      </c>
      <c r="M38" s="12" t="str">
        <f aca="false">IF(B38&lt;18,"0-17",IF(B38&lt;40,"18-39",IF(B38&lt;60,"40-59","60+")))</f>
        <v>40-59</v>
      </c>
      <c r="N38" s="12" t="str">
        <f aca="false">IF(I38&lt;=1,"0-1 days",IF(I38&lt;=7,"2-7 days",IF(I38&lt;=30,"8-30 days","&gt;30 days")))</f>
        <v>8-30 days</v>
      </c>
    </row>
    <row r="39" customFormat="false" ht="15" hidden="false" customHeight="false" outlineLevel="0" collapsed="false">
      <c r="A39" s="12" t="s">
        <v>170</v>
      </c>
      <c r="B39" s="12" t="n">
        <v>11</v>
      </c>
      <c r="C39" s="12" t="s">
        <v>43</v>
      </c>
      <c r="D39" s="12" t="s">
        <v>35</v>
      </c>
      <c r="E39" s="12" t="s">
        <v>92</v>
      </c>
      <c r="F39" s="12" t="s">
        <v>171</v>
      </c>
      <c r="G39" s="12" t="s">
        <v>53</v>
      </c>
      <c r="H39" s="12" t="s">
        <v>46</v>
      </c>
      <c r="I39" s="12" t="n">
        <v>5</v>
      </c>
      <c r="J39" s="12" t="s">
        <v>40</v>
      </c>
      <c r="K39" s="12" t="s">
        <v>63</v>
      </c>
      <c r="L39" s="12" t="str">
        <f aca="false">IF(OR(H39="Severe",H39="Life-Threatening"),"Yes","No")</f>
        <v>No</v>
      </c>
      <c r="M39" s="12" t="str">
        <f aca="false">IF(B39&lt;18,"0-17",IF(B39&lt;40,"18-39",IF(B39&lt;60,"40-59","60+")))</f>
        <v>0-17</v>
      </c>
      <c r="N39" s="12" t="str">
        <f aca="false">IF(I39&lt;=1,"0-1 days",IF(I39&lt;=7,"2-7 days",IF(I39&lt;=30,"8-30 days","&gt;30 days")))</f>
        <v>2-7 days</v>
      </c>
    </row>
    <row r="40" customFormat="false" ht="15" hidden="false" customHeight="false" outlineLevel="0" collapsed="false">
      <c r="A40" s="12" t="s">
        <v>172</v>
      </c>
      <c r="B40" s="12" t="n">
        <v>32</v>
      </c>
      <c r="C40" s="12" t="s">
        <v>34</v>
      </c>
      <c r="D40" s="12" t="s">
        <v>35</v>
      </c>
      <c r="E40" s="12" t="s">
        <v>173</v>
      </c>
      <c r="F40" s="12" t="s">
        <v>114</v>
      </c>
      <c r="G40" s="12" t="s">
        <v>115</v>
      </c>
      <c r="H40" s="12" t="s">
        <v>59</v>
      </c>
      <c r="I40" s="12" t="n">
        <v>14</v>
      </c>
      <c r="J40" s="12" t="s">
        <v>47</v>
      </c>
      <c r="K40" s="12" t="s">
        <v>63</v>
      </c>
      <c r="L40" s="12" t="str">
        <f aca="false">IF(OR(H40="Severe",H40="Life-Threatening"),"Yes","No")</f>
        <v>Yes</v>
      </c>
      <c r="M40" s="12" t="str">
        <f aca="false">IF(B40&lt;18,"0-17",IF(B40&lt;40,"18-39",IF(B40&lt;60,"40-59","60+")))</f>
        <v>18-39</v>
      </c>
      <c r="N40" s="12" t="str">
        <f aca="false">IF(I40&lt;=1,"0-1 days",IF(I40&lt;=7,"2-7 days",IF(I40&lt;=30,"8-30 days","&gt;30 days")))</f>
        <v>8-30 days</v>
      </c>
    </row>
    <row r="41" customFormat="false" ht="15" hidden="false" customHeight="false" outlineLevel="0" collapsed="false">
      <c r="A41" s="12" t="s">
        <v>174</v>
      </c>
      <c r="B41" s="12" t="n">
        <v>95</v>
      </c>
      <c r="C41" s="12" t="s">
        <v>34</v>
      </c>
      <c r="D41" s="12" t="s">
        <v>69</v>
      </c>
      <c r="E41" s="12" t="s">
        <v>175</v>
      </c>
      <c r="F41" s="12" t="s">
        <v>176</v>
      </c>
      <c r="G41" s="12" t="s">
        <v>177</v>
      </c>
      <c r="H41" s="12" t="s">
        <v>39</v>
      </c>
      <c r="I41" s="12" t="n">
        <v>11</v>
      </c>
      <c r="J41" s="12" t="s">
        <v>47</v>
      </c>
      <c r="K41" s="12" t="s">
        <v>63</v>
      </c>
      <c r="L41" s="12" t="str">
        <f aca="false">IF(OR(H41="Severe",H41="Life-Threatening"),"Yes","No")</f>
        <v>No</v>
      </c>
      <c r="M41" s="12" t="str">
        <f aca="false">IF(B41&lt;18,"0-17",IF(B41&lt;40,"18-39",IF(B41&lt;60,"40-59","60+")))</f>
        <v>60+</v>
      </c>
      <c r="N41" s="12" t="str">
        <f aca="false">IF(I41&lt;=1,"0-1 days",IF(I41&lt;=7,"2-7 days",IF(I41&lt;=30,"8-30 days","&gt;30 days")))</f>
        <v>8-30 days</v>
      </c>
    </row>
    <row r="42" customFormat="false" ht="15" hidden="false" customHeight="false" outlineLevel="0" collapsed="false">
      <c r="A42" s="12" t="s">
        <v>178</v>
      </c>
      <c r="B42" s="12" t="n">
        <v>65</v>
      </c>
      <c r="C42" s="12" t="s">
        <v>34</v>
      </c>
      <c r="D42" s="12" t="s">
        <v>35</v>
      </c>
      <c r="E42" s="12" t="s">
        <v>179</v>
      </c>
      <c r="F42" s="12" t="s">
        <v>45</v>
      </c>
      <c r="G42" s="12" t="s">
        <v>38</v>
      </c>
      <c r="H42" s="12" t="s">
        <v>39</v>
      </c>
      <c r="I42" s="12" t="n">
        <v>9</v>
      </c>
      <c r="J42" s="12" t="s">
        <v>40</v>
      </c>
      <c r="K42" s="12" t="s">
        <v>63</v>
      </c>
      <c r="L42" s="12" t="str">
        <f aca="false">IF(OR(H42="Severe",H42="Life-Threatening"),"Yes","No")</f>
        <v>No</v>
      </c>
      <c r="M42" s="12" t="str">
        <f aca="false">IF(B42&lt;18,"0-17",IF(B42&lt;40,"18-39",IF(B42&lt;60,"40-59","60+")))</f>
        <v>60+</v>
      </c>
      <c r="N42" s="12" t="str">
        <f aca="false">IF(I42&lt;=1,"0-1 days",IF(I42&lt;=7,"2-7 days",IF(I42&lt;=30,"8-30 days","&gt;30 days")))</f>
        <v>8-30 days</v>
      </c>
    </row>
    <row r="43" customFormat="false" ht="15" hidden="false" customHeight="false" outlineLevel="0" collapsed="false">
      <c r="A43" s="12" t="s">
        <v>180</v>
      </c>
      <c r="B43" s="12" t="n">
        <v>51</v>
      </c>
      <c r="C43" s="12" t="s">
        <v>34</v>
      </c>
      <c r="D43" s="12" t="s">
        <v>35</v>
      </c>
      <c r="E43" s="12" t="s">
        <v>181</v>
      </c>
      <c r="F43" s="12" t="s">
        <v>37</v>
      </c>
      <c r="G43" s="12" t="s">
        <v>38</v>
      </c>
      <c r="H43" s="12" t="s">
        <v>46</v>
      </c>
      <c r="I43" s="12" t="n">
        <v>29</v>
      </c>
      <c r="J43" s="12" t="s">
        <v>40</v>
      </c>
      <c r="K43" s="12" t="s">
        <v>147</v>
      </c>
      <c r="L43" s="12" t="str">
        <f aca="false">IF(OR(H43="Severe",H43="Life-Threatening"),"Yes","No")</f>
        <v>No</v>
      </c>
      <c r="M43" s="12" t="str">
        <f aca="false">IF(B43&lt;18,"0-17",IF(B43&lt;40,"18-39",IF(B43&lt;60,"40-59","60+")))</f>
        <v>40-59</v>
      </c>
      <c r="N43" s="12" t="str">
        <f aca="false">IF(I43&lt;=1,"0-1 days",IF(I43&lt;=7,"2-7 days",IF(I43&lt;=30,"8-30 days","&gt;30 days")))</f>
        <v>8-30 days</v>
      </c>
    </row>
    <row r="44" customFormat="false" ht="15" hidden="false" customHeight="false" outlineLevel="0" collapsed="false">
      <c r="A44" s="12" t="s">
        <v>182</v>
      </c>
      <c r="B44" s="12" t="n">
        <v>43</v>
      </c>
      <c r="C44" s="12" t="s">
        <v>34</v>
      </c>
      <c r="D44" s="12" t="s">
        <v>55</v>
      </c>
      <c r="E44" s="12" t="s">
        <v>183</v>
      </c>
      <c r="F44" s="12" t="s">
        <v>139</v>
      </c>
      <c r="G44" s="12" t="s">
        <v>38</v>
      </c>
      <c r="H44" s="12" t="s">
        <v>39</v>
      </c>
      <c r="I44" s="12" t="n">
        <v>18</v>
      </c>
      <c r="J44" s="12" t="s">
        <v>40</v>
      </c>
      <c r="K44" s="12" t="s">
        <v>63</v>
      </c>
      <c r="L44" s="12" t="str">
        <f aca="false">IF(OR(H44="Severe",H44="Life-Threatening"),"Yes","No")</f>
        <v>No</v>
      </c>
      <c r="M44" s="12" t="str">
        <f aca="false">IF(B44&lt;18,"0-17",IF(B44&lt;40,"18-39",IF(B44&lt;60,"40-59","60+")))</f>
        <v>40-59</v>
      </c>
      <c r="N44" s="12" t="str">
        <f aca="false">IF(I44&lt;=1,"0-1 days",IF(I44&lt;=7,"2-7 days",IF(I44&lt;=30,"8-30 days","&gt;30 days")))</f>
        <v>8-30 days</v>
      </c>
    </row>
    <row r="45" customFormat="false" ht="15" hidden="false" customHeight="false" outlineLevel="0" collapsed="false">
      <c r="A45" s="12" t="s">
        <v>184</v>
      </c>
      <c r="B45" s="12" t="n">
        <v>84</v>
      </c>
      <c r="C45" s="12" t="s">
        <v>43</v>
      </c>
      <c r="D45" s="12" t="s">
        <v>69</v>
      </c>
      <c r="E45" s="12" t="s">
        <v>74</v>
      </c>
      <c r="F45" s="12" t="s">
        <v>75</v>
      </c>
      <c r="G45" s="12" t="s">
        <v>58</v>
      </c>
      <c r="H45" s="12" t="s">
        <v>39</v>
      </c>
      <c r="I45" s="12" t="n">
        <v>0</v>
      </c>
      <c r="J45" s="12" t="s">
        <v>47</v>
      </c>
      <c r="K45" s="12" t="s">
        <v>63</v>
      </c>
      <c r="L45" s="12" t="str">
        <f aca="false">IF(OR(H45="Severe",H45="Life-Threatening"),"Yes","No")</f>
        <v>No</v>
      </c>
      <c r="M45" s="12" t="str">
        <f aca="false">IF(B45&lt;18,"0-17",IF(B45&lt;40,"18-39",IF(B45&lt;60,"40-59","60+")))</f>
        <v>60+</v>
      </c>
      <c r="N45" s="12" t="str">
        <f aca="false">IF(I45&lt;=1,"0-1 days",IF(I45&lt;=7,"2-7 days",IF(I45&lt;=30,"8-30 days","&gt;30 days")))</f>
        <v>0-1 days</v>
      </c>
    </row>
    <row r="46" customFormat="false" ht="15" hidden="false" customHeight="false" outlineLevel="0" collapsed="false">
      <c r="A46" s="12" t="s">
        <v>185</v>
      </c>
      <c r="B46" s="12" t="n">
        <v>18</v>
      </c>
      <c r="C46" s="12" t="s">
        <v>34</v>
      </c>
      <c r="D46" s="12" t="s">
        <v>55</v>
      </c>
      <c r="E46" s="12" t="s">
        <v>186</v>
      </c>
      <c r="F46" s="12" t="s">
        <v>131</v>
      </c>
      <c r="G46" s="12" t="s">
        <v>94</v>
      </c>
      <c r="H46" s="12" t="s">
        <v>39</v>
      </c>
      <c r="I46" s="12" t="n">
        <v>19</v>
      </c>
      <c r="J46" s="12" t="s">
        <v>40</v>
      </c>
      <c r="K46" s="12" t="s">
        <v>48</v>
      </c>
      <c r="L46" s="12" t="str">
        <f aca="false">IF(OR(H46="Severe",H46="Life-Threatening"),"Yes","No")</f>
        <v>No</v>
      </c>
      <c r="M46" s="12" t="str">
        <f aca="false">IF(B46&lt;18,"0-17",IF(B46&lt;40,"18-39",IF(B46&lt;60,"40-59","60+")))</f>
        <v>18-39</v>
      </c>
      <c r="N46" s="12" t="str">
        <f aca="false">IF(I46&lt;=1,"0-1 days",IF(I46&lt;=7,"2-7 days",IF(I46&lt;=30,"8-30 days","&gt;30 days")))</f>
        <v>8-30 days</v>
      </c>
    </row>
    <row r="47" customFormat="false" ht="15" hidden="false" customHeight="false" outlineLevel="0" collapsed="false">
      <c r="A47" s="12" t="s">
        <v>187</v>
      </c>
      <c r="B47" s="12" t="n">
        <v>63</v>
      </c>
      <c r="C47" s="12" t="s">
        <v>34</v>
      </c>
      <c r="D47" s="12" t="s">
        <v>88</v>
      </c>
      <c r="E47" s="12" t="s">
        <v>188</v>
      </c>
      <c r="F47" s="12" t="s">
        <v>79</v>
      </c>
      <c r="G47" s="12" t="s">
        <v>80</v>
      </c>
      <c r="H47" s="12" t="s">
        <v>76</v>
      </c>
      <c r="I47" s="12" t="n">
        <v>1</v>
      </c>
      <c r="J47" s="12" t="s">
        <v>40</v>
      </c>
      <c r="K47" s="12" t="s">
        <v>63</v>
      </c>
      <c r="L47" s="12" t="str">
        <f aca="false">IF(OR(H47="Severe",H47="Life-Threatening"),"Yes","No")</f>
        <v>Yes</v>
      </c>
      <c r="M47" s="12" t="str">
        <f aca="false">IF(B47&lt;18,"0-17",IF(B47&lt;40,"18-39",IF(B47&lt;60,"40-59","60+")))</f>
        <v>60+</v>
      </c>
      <c r="N47" s="12" t="str">
        <f aca="false">IF(I47&lt;=1,"0-1 days",IF(I47&lt;=7,"2-7 days",IF(I47&lt;=30,"8-30 days","&gt;30 days")))</f>
        <v>0-1 days</v>
      </c>
    </row>
    <row r="48" customFormat="false" ht="15" hidden="false" customHeight="false" outlineLevel="0" collapsed="false">
      <c r="A48" s="12" t="s">
        <v>189</v>
      </c>
      <c r="B48" s="12" t="n">
        <v>33</v>
      </c>
      <c r="C48" s="12" t="s">
        <v>43</v>
      </c>
      <c r="D48" s="12" t="s">
        <v>190</v>
      </c>
      <c r="E48" s="12" t="s">
        <v>191</v>
      </c>
      <c r="F48" s="12" t="s">
        <v>192</v>
      </c>
      <c r="G48" s="12" t="s">
        <v>53</v>
      </c>
      <c r="H48" s="12" t="s">
        <v>59</v>
      </c>
      <c r="I48" s="12" t="n">
        <v>2</v>
      </c>
      <c r="J48" s="12" t="s">
        <v>67</v>
      </c>
      <c r="K48" s="12" t="s">
        <v>48</v>
      </c>
      <c r="L48" s="12" t="str">
        <f aca="false">IF(OR(H48="Severe",H48="Life-Threatening"),"Yes","No")</f>
        <v>Yes</v>
      </c>
      <c r="M48" s="12" t="str">
        <f aca="false">IF(B48&lt;18,"0-17",IF(B48&lt;40,"18-39",IF(B48&lt;60,"40-59","60+")))</f>
        <v>18-39</v>
      </c>
      <c r="N48" s="12" t="str">
        <f aca="false">IF(I48&lt;=1,"0-1 days",IF(I48&lt;=7,"2-7 days",IF(I48&lt;=30,"8-30 days","&gt;30 days")))</f>
        <v>2-7 days</v>
      </c>
    </row>
    <row r="49" customFormat="false" ht="15" hidden="false" customHeight="false" outlineLevel="0" collapsed="false">
      <c r="A49" s="12" t="s">
        <v>193</v>
      </c>
      <c r="B49" s="12" t="n">
        <v>1</v>
      </c>
      <c r="C49" s="12" t="s">
        <v>43</v>
      </c>
      <c r="D49" s="12" t="s">
        <v>194</v>
      </c>
      <c r="E49" s="12" t="s">
        <v>70</v>
      </c>
      <c r="F49" s="12" t="s">
        <v>71</v>
      </c>
      <c r="G49" s="12" t="s">
        <v>72</v>
      </c>
      <c r="H49" s="12" t="s">
        <v>76</v>
      </c>
      <c r="I49" s="12" t="n">
        <v>1</v>
      </c>
      <c r="J49" s="12" t="s">
        <v>67</v>
      </c>
      <c r="K49" s="12" t="s">
        <v>48</v>
      </c>
      <c r="L49" s="12" t="str">
        <f aca="false">IF(OR(H49="Severe",H49="Life-Threatening"),"Yes","No")</f>
        <v>Yes</v>
      </c>
      <c r="M49" s="12" t="str">
        <f aca="false">IF(B49&lt;18,"0-17",IF(B49&lt;40,"18-39",IF(B49&lt;60,"40-59","60+")))</f>
        <v>0-17</v>
      </c>
      <c r="N49" s="12" t="str">
        <f aca="false">IF(I49&lt;=1,"0-1 days",IF(I49&lt;=7,"2-7 days",IF(I49&lt;=30,"8-30 days","&gt;30 days")))</f>
        <v>0-1 days</v>
      </c>
    </row>
    <row r="50" customFormat="false" ht="15" hidden="false" customHeight="false" outlineLevel="0" collapsed="false">
      <c r="A50" s="12" t="s">
        <v>195</v>
      </c>
      <c r="B50" s="12" t="n">
        <v>55</v>
      </c>
      <c r="C50" s="12" t="s">
        <v>43</v>
      </c>
      <c r="D50" s="12" t="s">
        <v>196</v>
      </c>
      <c r="E50" s="12" t="s">
        <v>175</v>
      </c>
      <c r="F50" s="12" t="s">
        <v>176</v>
      </c>
      <c r="G50" s="12" t="s">
        <v>177</v>
      </c>
      <c r="H50" s="12" t="s">
        <v>76</v>
      </c>
      <c r="I50" s="12" t="n">
        <v>20</v>
      </c>
      <c r="J50" s="12" t="s">
        <v>47</v>
      </c>
      <c r="K50" s="12" t="s">
        <v>48</v>
      </c>
      <c r="L50" s="12" t="str">
        <f aca="false">IF(OR(H50="Severe",H50="Life-Threatening"),"Yes","No")</f>
        <v>Yes</v>
      </c>
      <c r="M50" s="12" t="str">
        <f aca="false">IF(B50&lt;18,"0-17",IF(B50&lt;40,"18-39",IF(B50&lt;60,"40-59","60+")))</f>
        <v>40-59</v>
      </c>
      <c r="N50" s="12" t="str">
        <f aca="false">IF(I50&lt;=1,"0-1 days",IF(I50&lt;=7,"2-7 days",IF(I50&lt;=30,"8-30 days","&gt;30 days")))</f>
        <v>8-30 days</v>
      </c>
    </row>
    <row r="51" customFormat="false" ht="15" hidden="false" customHeight="false" outlineLevel="0" collapsed="false">
      <c r="A51" s="12" t="s">
        <v>197</v>
      </c>
      <c r="B51" s="12" t="n">
        <v>47</v>
      </c>
      <c r="C51" s="12" t="s">
        <v>43</v>
      </c>
      <c r="D51" s="12" t="s">
        <v>85</v>
      </c>
      <c r="E51" s="12" t="s">
        <v>198</v>
      </c>
      <c r="F51" s="12" t="s">
        <v>79</v>
      </c>
      <c r="G51" s="12" t="s">
        <v>80</v>
      </c>
      <c r="H51" s="12" t="s">
        <v>76</v>
      </c>
      <c r="I51" s="12" t="n">
        <v>12</v>
      </c>
      <c r="J51" s="12" t="s">
        <v>47</v>
      </c>
      <c r="K51" s="12" t="s">
        <v>41</v>
      </c>
      <c r="L51" s="12" t="str">
        <f aca="false">IF(OR(H51="Severe",H51="Life-Threatening"),"Yes","No")</f>
        <v>Yes</v>
      </c>
      <c r="M51" s="12" t="str">
        <f aca="false">IF(B51&lt;18,"0-17",IF(B51&lt;40,"18-39",IF(B51&lt;60,"40-59","60+")))</f>
        <v>40-59</v>
      </c>
      <c r="N51" s="12" t="str">
        <f aca="false">IF(I51&lt;=1,"0-1 days",IF(I51&lt;=7,"2-7 days",IF(I51&lt;=30,"8-30 days","&gt;30 days")))</f>
        <v>8-30 days</v>
      </c>
    </row>
    <row r="52" customFormat="false" ht="15" hidden="false" customHeight="false" outlineLevel="0" collapsed="false">
      <c r="A52" s="12" t="s">
        <v>199</v>
      </c>
      <c r="B52" s="12" t="n">
        <v>66</v>
      </c>
      <c r="C52" s="12" t="s">
        <v>43</v>
      </c>
      <c r="D52" s="12" t="s">
        <v>69</v>
      </c>
      <c r="E52" s="12" t="s">
        <v>200</v>
      </c>
      <c r="F52" s="12" t="s">
        <v>79</v>
      </c>
      <c r="G52" s="12" t="s">
        <v>80</v>
      </c>
      <c r="H52" s="12" t="s">
        <v>76</v>
      </c>
      <c r="I52" s="12" t="n">
        <v>15</v>
      </c>
      <c r="J52" s="12" t="s">
        <v>47</v>
      </c>
      <c r="K52" s="12" t="s">
        <v>63</v>
      </c>
      <c r="L52" s="12" t="str">
        <f aca="false">IF(OR(H52="Severe",H52="Life-Threatening"),"Yes","No")</f>
        <v>Yes</v>
      </c>
      <c r="M52" s="12" t="str">
        <f aca="false">IF(B52&lt;18,"0-17",IF(B52&lt;40,"18-39",IF(B52&lt;60,"40-59","60+")))</f>
        <v>60+</v>
      </c>
      <c r="N52" s="12" t="str">
        <f aca="false">IF(I52&lt;=1,"0-1 days",IF(I52&lt;=7,"2-7 days",IF(I52&lt;=30,"8-30 days","&gt;30 days")))</f>
        <v>8-30 days</v>
      </c>
    </row>
    <row r="53" customFormat="false" ht="15" hidden="false" customHeight="false" outlineLevel="0" collapsed="false">
      <c r="A53" s="12" t="s">
        <v>201</v>
      </c>
      <c r="B53" s="12" t="n">
        <v>50</v>
      </c>
      <c r="C53" s="12" t="s">
        <v>43</v>
      </c>
      <c r="D53" s="12" t="s">
        <v>202</v>
      </c>
      <c r="E53" s="12" t="s">
        <v>78</v>
      </c>
      <c r="F53" s="12" t="s">
        <v>79</v>
      </c>
      <c r="G53" s="12" t="s">
        <v>80</v>
      </c>
      <c r="H53" s="12" t="s">
        <v>76</v>
      </c>
      <c r="I53" s="12" t="n">
        <v>20</v>
      </c>
      <c r="J53" s="12" t="s">
        <v>40</v>
      </c>
      <c r="K53" s="12" t="s">
        <v>48</v>
      </c>
      <c r="L53" s="12" t="str">
        <f aca="false">IF(OR(H53="Severe",H53="Life-Threatening"),"Yes","No")</f>
        <v>Yes</v>
      </c>
      <c r="M53" s="12" t="str">
        <f aca="false">IF(B53&lt;18,"0-17",IF(B53&lt;40,"18-39",IF(B53&lt;60,"40-59","60+")))</f>
        <v>40-59</v>
      </c>
      <c r="N53" s="12" t="str">
        <f aca="false">IF(I53&lt;=1,"0-1 days",IF(I53&lt;=7,"2-7 days",IF(I53&lt;=30,"8-30 days","&gt;30 days")))</f>
        <v>8-30 days</v>
      </c>
    </row>
    <row r="54" customFormat="false" ht="15" hidden="false" customHeight="false" outlineLevel="0" collapsed="false">
      <c r="A54" s="12" t="s">
        <v>203</v>
      </c>
      <c r="B54" s="12" t="n">
        <v>44</v>
      </c>
      <c r="C54" s="12" t="s">
        <v>34</v>
      </c>
      <c r="D54" s="12" t="s">
        <v>194</v>
      </c>
      <c r="E54" s="12" t="s">
        <v>204</v>
      </c>
      <c r="F54" s="12" t="s">
        <v>103</v>
      </c>
      <c r="G54" s="12" t="s">
        <v>104</v>
      </c>
      <c r="H54" s="12" t="s">
        <v>39</v>
      </c>
      <c r="I54" s="12" t="n">
        <v>36</v>
      </c>
      <c r="J54" s="12" t="s">
        <v>47</v>
      </c>
      <c r="K54" s="12" t="s">
        <v>63</v>
      </c>
      <c r="L54" s="12" t="str">
        <f aca="false">IF(OR(H54="Severe",H54="Life-Threatening"),"Yes","No")</f>
        <v>No</v>
      </c>
      <c r="M54" s="12" t="str">
        <f aca="false">IF(B54&lt;18,"0-17",IF(B54&lt;40,"18-39",IF(B54&lt;60,"40-59","60+")))</f>
        <v>40-59</v>
      </c>
      <c r="N54" s="12" t="str">
        <f aca="false">IF(I54&lt;=1,"0-1 days",IF(I54&lt;=7,"2-7 days",IF(I54&lt;=30,"8-30 days","&gt;30 days")))</f>
        <v>&gt;30 days</v>
      </c>
    </row>
    <row r="55" customFormat="false" ht="15" hidden="false" customHeight="false" outlineLevel="0" collapsed="false">
      <c r="A55" s="12" t="s">
        <v>205</v>
      </c>
      <c r="B55" s="12" t="n">
        <v>66</v>
      </c>
      <c r="C55" s="12" t="s">
        <v>43</v>
      </c>
      <c r="D55" s="12" t="s">
        <v>120</v>
      </c>
      <c r="E55" s="12" t="s">
        <v>206</v>
      </c>
      <c r="F55" s="12" t="s">
        <v>62</v>
      </c>
      <c r="G55" s="12" t="s">
        <v>53</v>
      </c>
      <c r="H55" s="12" t="s">
        <v>46</v>
      </c>
      <c r="I55" s="12" t="n">
        <v>29</v>
      </c>
      <c r="J55" s="12" t="s">
        <v>40</v>
      </c>
      <c r="K55" s="12" t="s">
        <v>48</v>
      </c>
      <c r="L55" s="12" t="str">
        <f aca="false">IF(OR(H55="Severe",H55="Life-Threatening"),"Yes","No")</f>
        <v>No</v>
      </c>
      <c r="M55" s="12" t="str">
        <f aca="false">IF(B55&lt;18,"0-17",IF(B55&lt;40,"18-39",IF(B55&lt;60,"40-59","60+")))</f>
        <v>60+</v>
      </c>
      <c r="N55" s="12" t="str">
        <f aca="false">IF(I55&lt;=1,"0-1 days",IF(I55&lt;=7,"2-7 days",IF(I55&lt;=30,"8-30 days","&gt;30 days")))</f>
        <v>8-30 days</v>
      </c>
    </row>
    <row r="56" customFormat="false" ht="15" hidden="false" customHeight="false" outlineLevel="0" collapsed="false">
      <c r="A56" s="12" t="s">
        <v>207</v>
      </c>
      <c r="B56" s="12" t="n">
        <v>40</v>
      </c>
      <c r="C56" s="12" t="s">
        <v>43</v>
      </c>
      <c r="D56" s="12" t="s">
        <v>69</v>
      </c>
      <c r="E56" s="12" t="s">
        <v>208</v>
      </c>
      <c r="F56" s="12" t="s">
        <v>209</v>
      </c>
      <c r="G56" s="12" t="s">
        <v>80</v>
      </c>
      <c r="H56" s="12" t="s">
        <v>59</v>
      </c>
      <c r="I56" s="12" t="n">
        <v>19</v>
      </c>
      <c r="J56" s="12" t="s">
        <v>40</v>
      </c>
      <c r="K56" s="12" t="s">
        <v>63</v>
      </c>
      <c r="L56" s="12" t="str">
        <f aca="false">IF(OR(H56="Severe",H56="Life-Threatening"),"Yes","No")</f>
        <v>Yes</v>
      </c>
      <c r="M56" s="12" t="str">
        <f aca="false">IF(B56&lt;18,"0-17",IF(B56&lt;40,"18-39",IF(B56&lt;60,"40-59","60+")))</f>
        <v>40-59</v>
      </c>
      <c r="N56" s="12" t="str">
        <f aca="false">IF(I56&lt;=1,"0-1 days",IF(I56&lt;=7,"2-7 days",IF(I56&lt;=30,"8-30 days","&gt;30 days")))</f>
        <v>8-30 days</v>
      </c>
    </row>
    <row r="57" customFormat="false" ht="15" hidden="false" customHeight="false" outlineLevel="0" collapsed="false">
      <c r="A57" s="12" t="s">
        <v>210</v>
      </c>
      <c r="B57" s="12" t="n">
        <v>47</v>
      </c>
      <c r="C57" s="12" t="s">
        <v>43</v>
      </c>
      <c r="D57" s="12" t="s">
        <v>211</v>
      </c>
      <c r="E57" s="12" t="s">
        <v>74</v>
      </c>
      <c r="F57" s="12" t="s">
        <v>75</v>
      </c>
      <c r="G57" s="12" t="s">
        <v>58</v>
      </c>
      <c r="H57" s="12" t="s">
        <v>76</v>
      </c>
      <c r="I57" s="12" t="n">
        <v>0</v>
      </c>
      <c r="J57" s="12" t="s">
        <v>67</v>
      </c>
      <c r="K57" s="12" t="s">
        <v>63</v>
      </c>
      <c r="L57" s="12" t="str">
        <f aca="false">IF(OR(H57="Severe",H57="Life-Threatening"),"Yes","No")</f>
        <v>Yes</v>
      </c>
      <c r="M57" s="12" t="str">
        <f aca="false">IF(B57&lt;18,"0-17",IF(B57&lt;40,"18-39",IF(B57&lt;60,"40-59","60+")))</f>
        <v>40-59</v>
      </c>
      <c r="N57" s="12" t="str">
        <f aca="false">IF(I57&lt;=1,"0-1 days",IF(I57&lt;=7,"2-7 days",IF(I57&lt;=30,"8-30 days","&gt;30 days")))</f>
        <v>0-1 days</v>
      </c>
    </row>
    <row r="58" customFormat="false" ht="15" hidden="false" customHeight="false" outlineLevel="0" collapsed="false">
      <c r="A58" s="12" t="s">
        <v>212</v>
      </c>
      <c r="B58" s="12" t="n">
        <v>33</v>
      </c>
      <c r="C58" s="12" t="s">
        <v>43</v>
      </c>
      <c r="D58" s="12" t="s">
        <v>102</v>
      </c>
      <c r="E58" s="12" t="s">
        <v>213</v>
      </c>
      <c r="F58" s="12" t="s">
        <v>214</v>
      </c>
      <c r="G58" s="12" t="s">
        <v>115</v>
      </c>
      <c r="H58" s="12" t="s">
        <v>46</v>
      </c>
      <c r="I58" s="12" t="n">
        <v>15</v>
      </c>
      <c r="J58" s="12" t="s">
        <v>40</v>
      </c>
      <c r="K58" s="12" t="s">
        <v>63</v>
      </c>
      <c r="L58" s="12" t="str">
        <f aca="false">IF(OR(H58="Severe",H58="Life-Threatening"),"Yes","No")</f>
        <v>No</v>
      </c>
      <c r="M58" s="12" t="str">
        <f aca="false">IF(B58&lt;18,"0-17",IF(B58&lt;40,"18-39",IF(B58&lt;60,"40-59","60+")))</f>
        <v>18-39</v>
      </c>
      <c r="N58" s="12" t="str">
        <f aca="false">IF(I58&lt;=1,"0-1 days",IF(I58&lt;=7,"2-7 days",IF(I58&lt;=30,"8-30 days","&gt;30 days")))</f>
        <v>8-30 days</v>
      </c>
    </row>
    <row r="59" customFormat="false" ht="15" hidden="false" customHeight="false" outlineLevel="0" collapsed="false">
      <c r="A59" s="12" t="s">
        <v>215</v>
      </c>
      <c r="B59" s="12" t="n">
        <v>63</v>
      </c>
      <c r="C59" s="12" t="s">
        <v>34</v>
      </c>
      <c r="D59" s="12" t="s">
        <v>88</v>
      </c>
      <c r="E59" s="12" t="s">
        <v>216</v>
      </c>
      <c r="F59" s="12" t="s">
        <v>176</v>
      </c>
      <c r="G59" s="12" t="s">
        <v>177</v>
      </c>
      <c r="H59" s="12" t="s">
        <v>46</v>
      </c>
      <c r="I59" s="12" t="n">
        <v>7</v>
      </c>
      <c r="J59" s="12" t="s">
        <v>47</v>
      </c>
      <c r="K59" s="12" t="s">
        <v>41</v>
      </c>
      <c r="L59" s="12" t="str">
        <f aca="false">IF(OR(H59="Severe",H59="Life-Threatening"),"Yes","No")</f>
        <v>No</v>
      </c>
      <c r="M59" s="12" t="str">
        <f aca="false">IF(B59&lt;18,"0-17",IF(B59&lt;40,"18-39",IF(B59&lt;60,"40-59","60+")))</f>
        <v>60+</v>
      </c>
      <c r="N59" s="12" t="str">
        <f aca="false">IF(I59&lt;=1,"0-1 days",IF(I59&lt;=7,"2-7 days",IF(I59&lt;=30,"8-30 days","&gt;30 days")))</f>
        <v>2-7 days</v>
      </c>
    </row>
    <row r="60" customFormat="false" ht="15" hidden="false" customHeight="false" outlineLevel="0" collapsed="false">
      <c r="A60" s="12" t="s">
        <v>217</v>
      </c>
      <c r="B60" s="12" t="n">
        <v>28</v>
      </c>
      <c r="C60" s="12" t="s">
        <v>34</v>
      </c>
      <c r="D60" s="12" t="s">
        <v>55</v>
      </c>
      <c r="E60" s="12" t="s">
        <v>179</v>
      </c>
      <c r="F60" s="12" t="s">
        <v>45</v>
      </c>
      <c r="G60" s="12" t="s">
        <v>38</v>
      </c>
      <c r="H60" s="12" t="s">
        <v>46</v>
      </c>
      <c r="I60" s="12" t="n">
        <v>30</v>
      </c>
      <c r="J60" s="12" t="s">
        <v>40</v>
      </c>
      <c r="K60" s="12" t="s">
        <v>147</v>
      </c>
      <c r="L60" s="12" t="str">
        <f aca="false">IF(OR(H60="Severe",H60="Life-Threatening"),"Yes","No")</f>
        <v>No</v>
      </c>
      <c r="M60" s="12" t="str">
        <f aca="false">IF(B60&lt;18,"0-17",IF(B60&lt;40,"18-39",IF(B60&lt;60,"40-59","60+")))</f>
        <v>18-39</v>
      </c>
      <c r="N60" s="12" t="str">
        <f aca="false">IF(I60&lt;=1,"0-1 days",IF(I60&lt;=7,"2-7 days",IF(I60&lt;=30,"8-30 days","&gt;30 days")))</f>
        <v>8-30 days</v>
      </c>
    </row>
    <row r="61" customFormat="false" ht="15" hidden="false" customHeight="false" outlineLevel="0" collapsed="false">
      <c r="A61" s="12" t="s">
        <v>218</v>
      </c>
      <c r="B61" s="12" t="n">
        <v>71</v>
      </c>
      <c r="C61" s="12" t="s">
        <v>34</v>
      </c>
      <c r="D61" s="12" t="s">
        <v>120</v>
      </c>
      <c r="E61" s="12" t="s">
        <v>113</v>
      </c>
      <c r="F61" s="12" t="s">
        <v>219</v>
      </c>
      <c r="G61" s="12" t="s">
        <v>53</v>
      </c>
      <c r="H61" s="12" t="s">
        <v>76</v>
      </c>
      <c r="I61" s="12" t="n">
        <v>16</v>
      </c>
      <c r="J61" s="12" t="s">
        <v>40</v>
      </c>
      <c r="K61" s="12" t="s">
        <v>41</v>
      </c>
      <c r="L61" s="12" t="str">
        <f aca="false">IF(OR(H61="Severe",H61="Life-Threatening"),"Yes","No")</f>
        <v>Yes</v>
      </c>
      <c r="M61" s="12" t="str">
        <f aca="false">IF(B61&lt;18,"0-17",IF(B61&lt;40,"18-39",IF(B61&lt;60,"40-59","60+")))</f>
        <v>60+</v>
      </c>
      <c r="N61" s="12" t="str">
        <f aca="false">IF(I61&lt;=1,"0-1 days",IF(I61&lt;=7,"2-7 days",IF(I61&lt;=30,"8-30 days","&gt;30 days")))</f>
        <v>8-30 days</v>
      </c>
    </row>
    <row r="62" customFormat="false" ht="15" hidden="false" customHeight="false" outlineLevel="0" collapsed="false">
      <c r="A62" s="12" t="s">
        <v>220</v>
      </c>
      <c r="B62" s="12" t="n">
        <v>27</v>
      </c>
      <c r="C62" s="12" t="s">
        <v>34</v>
      </c>
      <c r="D62" s="12" t="s">
        <v>35</v>
      </c>
      <c r="E62" s="12" t="s">
        <v>150</v>
      </c>
      <c r="F62" s="12" t="s">
        <v>221</v>
      </c>
      <c r="G62" s="12" t="s">
        <v>94</v>
      </c>
      <c r="H62" s="12" t="s">
        <v>76</v>
      </c>
      <c r="I62" s="12" t="n">
        <v>0</v>
      </c>
      <c r="J62" s="12" t="s">
        <v>47</v>
      </c>
      <c r="K62" s="12" t="s">
        <v>41</v>
      </c>
      <c r="L62" s="12" t="str">
        <f aca="false">IF(OR(H62="Severe",H62="Life-Threatening"),"Yes","No")</f>
        <v>Yes</v>
      </c>
      <c r="M62" s="12" t="str">
        <f aca="false">IF(B62&lt;18,"0-17",IF(B62&lt;40,"18-39",IF(B62&lt;60,"40-59","60+")))</f>
        <v>18-39</v>
      </c>
      <c r="N62" s="12" t="str">
        <f aca="false">IF(I62&lt;=1,"0-1 days",IF(I62&lt;=7,"2-7 days",IF(I62&lt;=30,"8-30 days","&gt;30 days")))</f>
        <v>0-1 days</v>
      </c>
    </row>
    <row r="63" customFormat="false" ht="15" hidden="false" customHeight="false" outlineLevel="0" collapsed="false">
      <c r="A63" s="12" t="s">
        <v>222</v>
      </c>
      <c r="B63" s="12" t="n">
        <v>68</v>
      </c>
      <c r="C63" s="12" t="s">
        <v>43</v>
      </c>
      <c r="D63" s="12" t="s">
        <v>190</v>
      </c>
      <c r="E63" s="12" t="s">
        <v>89</v>
      </c>
      <c r="F63" s="12" t="s">
        <v>37</v>
      </c>
      <c r="G63" s="12" t="s">
        <v>38</v>
      </c>
      <c r="H63" s="12" t="s">
        <v>46</v>
      </c>
      <c r="I63" s="12" t="n">
        <v>18</v>
      </c>
      <c r="J63" s="12" t="s">
        <v>40</v>
      </c>
      <c r="K63" s="12" t="s">
        <v>48</v>
      </c>
      <c r="L63" s="12" t="str">
        <f aca="false">IF(OR(H63="Severe",H63="Life-Threatening"),"Yes","No")</f>
        <v>No</v>
      </c>
      <c r="M63" s="12" t="str">
        <f aca="false">IF(B63&lt;18,"0-17",IF(B63&lt;40,"18-39",IF(B63&lt;60,"40-59","60+")))</f>
        <v>60+</v>
      </c>
      <c r="N63" s="12" t="str">
        <f aca="false">IF(I63&lt;=1,"0-1 days",IF(I63&lt;=7,"2-7 days",IF(I63&lt;=30,"8-30 days","&gt;30 days")))</f>
        <v>8-30 days</v>
      </c>
    </row>
    <row r="64" customFormat="false" ht="15" hidden="false" customHeight="false" outlineLevel="0" collapsed="false">
      <c r="A64" s="12" t="s">
        <v>223</v>
      </c>
      <c r="B64" s="12" t="n">
        <v>32</v>
      </c>
      <c r="C64" s="12" t="s">
        <v>34</v>
      </c>
      <c r="D64" s="12" t="s">
        <v>35</v>
      </c>
      <c r="E64" s="12" t="s">
        <v>86</v>
      </c>
      <c r="F64" s="12" t="s">
        <v>45</v>
      </c>
      <c r="G64" s="12" t="s">
        <v>38</v>
      </c>
      <c r="H64" s="12" t="s">
        <v>39</v>
      </c>
      <c r="I64" s="12" t="n">
        <v>29</v>
      </c>
      <c r="J64" s="12" t="s">
        <v>40</v>
      </c>
      <c r="K64" s="12" t="s">
        <v>48</v>
      </c>
      <c r="L64" s="12" t="str">
        <f aca="false">IF(OR(H64="Severe",H64="Life-Threatening"),"Yes","No")</f>
        <v>No</v>
      </c>
      <c r="M64" s="12" t="str">
        <f aca="false">IF(B64&lt;18,"0-17",IF(B64&lt;40,"18-39",IF(B64&lt;60,"40-59","60+")))</f>
        <v>18-39</v>
      </c>
      <c r="N64" s="12" t="str">
        <f aca="false">IF(I64&lt;=1,"0-1 days",IF(I64&lt;=7,"2-7 days",IF(I64&lt;=30,"8-30 days","&gt;30 days")))</f>
        <v>8-30 days</v>
      </c>
    </row>
    <row r="65" customFormat="false" ht="15" hidden="false" customHeight="false" outlineLevel="0" collapsed="false">
      <c r="A65" s="12" t="s">
        <v>224</v>
      </c>
      <c r="B65" s="12" t="n">
        <v>16</v>
      </c>
      <c r="C65" s="12" t="s">
        <v>43</v>
      </c>
      <c r="D65" s="12" t="s">
        <v>50</v>
      </c>
      <c r="E65" s="12" t="s">
        <v>225</v>
      </c>
      <c r="F65" s="12" t="s">
        <v>139</v>
      </c>
      <c r="G65" s="12" t="s">
        <v>38</v>
      </c>
      <c r="H65" s="12" t="s">
        <v>46</v>
      </c>
      <c r="I65" s="12" t="n">
        <v>22</v>
      </c>
      <c r="J65" s="12" t="s">
        <v>40</v>
      </c>
      <c r="K65" s="12" t="s">
        <v>48</v>
      </c>
      <c r="L65" s="12" t="str">
        <f aca="false">IF(OR(H65="Severe",H65="Life-Threatening"),"Yes","No")</f>
        <v>No</v>
      </c>
      <c r="M65" s="12" t="str">
        <f aca="false">IF(B65&lt;18,"0-17",IF(B65&lt;40,"18-39",IF(B65&lt;60,"40-59","60+")))</f>
        <v>0-17</v>
      </c>
      <c r="N65" s="12" t="str">
        <f aca="false">IF(I65&lt;=1,"0-1 days",IF(I65&lt;=7,"2-7 days",IF(I65&lt;=30,"8-30 days","&gt;30 days")))</f>
        <v>8-30 days</v>
      </c>
    </row>
    <row r="66" customFormat="false" ht="15" hidden="false" customHeight="false" outlineLevel="0" collapsed="false">
      <c r="A66" s="12" t="s">
        <v>226</v>
      </c>
      <c r="B66" s="12" t="n">
        <v>29</v>
      </c>
      <c r="C66" s="12" t="s">
        <v>34</v>
      </c>
      <c r="D66" s="12" t="s">
        <v>35</v>
      </c>
      <c r="E66" s="12" t="s">
        <v>227</v>
      </c>
      <c r="F66" s="12" t="s">
        <v>214</v>
      </c>
      <c r="G66" s="12" t="s">
        <v>115</v>
      </c>
      <c r="H66" s="12" t="s">
        <v>46</v>
      </c>
      <c r="I66" s="12" t="n">
        <v>21</v>
      </c>
      <c r="J66" s="12" t="s">
        <v>40</v>
      </c>
      <c r="K66" s="12" t="s">
        <v>41</v>
      </c>
      <c r="L66" s="12" t="str">
        <f aca="false">IF(OR(H66="Severe",H66="Life-Threatening"),"Yes","No")</f>
        <v>No</v>
      </c>
      <c r="M66" s="12" t="str">
        <f aca="false">IF(B66&lt;18,"0-17",IF(B66&lt;40,"18-39",IF(B66&lt;60,"40-59","60+")))</f>
        <v>18-39</v>
      </c>
      <c r="N66" s="12" t="str">
        <f aca="false">IF(I66&lt;=1,"0-1 days",IF(I66&lt;=7,"2-7 days",IF(I66&lt;=30,"8-30 days","&gt;30 days")))</f>
        <v>8-30 days</v>
      </c>
    </row>
    <row r="67" customFormat="false" ht="15" hidden="false" customHeight="false" outlineLevel="0" collapsed="false">
      <c r="A67" s="12" t="s">
        <v>228</v>
      </c>
      <c r="B67" s="12" t="n">
        <v>50</v>
      </c>
      <c r="C67" s="12" t="s">
        <v>43</v>
      </c>
      <c r="D67" s="12" t="s">
        <v>55</v>
      </c>
      <c r="E67" s="12" t="s">
        <v>229</v>
      </c>
      <c r="F67" s="12" t="s">
        <v>139</v>
      </c>
      <c r="G67" s="12" t="s">
        <v>38</v>
      </c>
      <c r="H67" s="12" t="s">
        <v>46</v>
      </c>
      <c r="I67" s="12" t="n">
        <v>4</v>
      </c>
      <c r="J67" s="12" t="s">
        <v>47</v>
      </c>
      <c r="K67" s="12" t="s">
        <v>41</v>
      </c>
      <c r="L67" s="12" t="str">
        <f aca="false">IF(OR(H67="Severe",H67="Life-Threatening"),"Yes","No")</f>
        <v>No</v>
      </c>
      <c r="M67" s="12" t="str">
        <f aca="false">IF(B67&lt;18,"0-17",IF(B67&lt;40,"18-39",IF(B67&lt;60,"40-59","60+")))</f>
        <v>40-59</v>
      </c>
      <c r="N67" s="12" t="str">
        <f aca="false">IF(I67&lt;=1,"0-1 days",IF(I67&lt;=7,"2-7 days",IF(I67&lt;=30,"8-30 days","&gt;30 days")))</f>
        <v>2-7 days</v>
      </c>
    </row>
    <row r="68" customFormat="false" ht="15" hidden="false" customHeight="false" outlineLevel="0" collapsed="false">
      <c r="A68" s="12" t="s">
        <v>230</v>
      </c>
      <c r="B68" s="12" t="n">
        <v>40</v>
      </c>
      <c r="C68" s="12" t="s">
        <v>43</v>
      </c>
      <c r="D68" s="12" t="s">
        <v>231</v>
      </c>
      <c r="E68" s="12" t="s">
        <v>225</v>
      </c>
      <c r="F68" s="12" t="s">
        <v>139</v>
      </c>
      <c r="G68" s="12" t="s">
        <v>38</v>
      </c>
      <c r="H68" s="12" t="s">
        <v>76</v>
      </c>
      <c r="I68" s="12" t="n">
        <v>28</v>
      </c>
      <c r="J68" s="12" t="s">
        <v>47</v>
      </c>
      <c r="K68" s="12" t="s">
        <v>63</v>
      </c>
      <c r="L68" s="12" t="str">
        <f aca="false">IF(OR(H68="Severe",H68="Life-Threatening"),"Yes","No")</f>
        <v>Yes</v>
      </c>
      <c r="M68" s="12" t="str">
        <f aca="false">IF(B68&lt;18,"0-17",IF(B68&lt;40,"18-39",IF(B68&lt;60,"40-59","60+")))</f>
        <v>40-59</v>
      </c>
      <c r="N68" s="12" t="str">
        <f aca="false">IF(I68&lt;=1,"0-1 days",IF(I68&lt;=7,"2-7 days",IF(I68&lt;=30,"8-30 days","&gt;30 days")))</f>
        <v>8-30 days</v>
      </c>
    </row>
    <row r="69" customFormat="false" ht="15" hidden="false" customHeight="false" outlineLevel="0" collapsed="false">
      <c r="A69" s="12" t="s">
        <v>232</v>
      </c>
      <c r="B69" s="12" t="n">
        <v>51</v>
      </c>
      <c r="C69" s="12" t="s">
        <v>34</v>
      </c>
      <c r="D69" s="12" t="s">
        <v>211</v>
      </c>
      <c r="E69" s="12" t="s">
        <v>130</v>
      </c>
      <c r="F69" s="12" t="s">
        <v>62</v>
      </c>
      <c r="G69" s="12" t="s">
        <v>53</v>
      </c>
      <c r="H69" s="12" t="s">
        <v>46</v>
      </c>
      <c r="I69" s="12" t="n">
        <v>30</v>
      </c>
      <c r="J69" s="12" t="s">
        <v>169</v>
      </c>
      <c r="K69" s="12" t="s">
        <v>48</v>
      </c>
      <c r="L69" s="12" t="str">
        <f aca="false">IF(OR(H69="Severe",H69="Life-Threatening"),"Yes","No")</f>
        <v>No</v>
      </c>
      <c r="M69" s="12" t="str">
        <f aca="false">IF(B69&lt;18,"0-17",IF(B69&lt;40,"18-39",IF(B69&lt;60,"40-59","60+")))</f>
        <v>40-59</v>
      </c>
      <c r="N69" s="12" t="str">
        <f aca="false">IF(I69&lt;=1,"0-1 days",IF(I69&lt;=7,"2-7 days",IF(I69&lt;=30,"8-30 days","&gt;30 days")))</f>
        <v>8-30 days</v>
      </c>
    </row>
    <row r="70" customFormat="false" ht="15" hidden="false" customHeight="false" outlineLevel="0" collapsed="false">
      <c r="A70" s="12" t="s">
        <v>233</v>
      </c>
      <c r="B70" s="12" t="n">
        <v>23</v>
      </c>
      <c r="C70" s="12" t="s">
        <v>43</v>
      </c>
      <c r="D70" s="12" t="s">
        <v>234</v>
      </c>
      <c r="E70" s="12" t="s">
        <v>160</v>
      </c>
      <c r="F70" s="12" t="s">
        <v>235</v>
      </c>
      <c r="G70" s="12" t="s">
        <v>53</v>
      </c>
      <c r="H70" s="12" t="s">
        <v>39</v>
      </c>
      <c r="I70" s="12" t="n">
        <v>22</v>
      </c>
      <c r="J70" s="12" t="s">
        <v>40</v>
      </c>
      <c r="K70" s="12" t="s">
        <v>48</v>
      </c>
      <c r="L70" s="12" t="str">
        <f aca="false">IF(OR(H70="Severe",H70="Life-Threatening"),"Yes","No")</f>
        <v>No</v>
      </c>
      <c r="M70" s="12" t="str">
        <f aca="false">IF(B70&lt;18,"0-17",IF(B70&lt;40,"18-39",IF(B70&lt;60,"40-59","60+")))</f>
        <v>18-39</v>
      </c>
      <c r="N70" s="12" t="str">
        <f aca="false">IF(I70&lt;=1,"0-1 days",IF(I70&lt;=7,"2-7 days",IF(I70&lt;=30,"8-30 days","&gt;30 days")))</f>
        <v>8-30 days</v>
      </c>
    </row>
    <row r="71" customFormat="false" ht="15" hidden="false" customHeight="false" outlineLevel="0" collapsed="false">
      <c r="A71" s="12" t="s">
        <v>236</v>
      </c>
      <c r="B71" s="12" t="n">
        <v>53</v>
      </c>
      <c r="C71" s="12" t="s">
        <v>43</v>
      </c>
      <c r="D71" s="12" t="s">
        <v>55</v>
      </c>
      <c r="E71" s="12" t="s">
        <v>65</v>
      </c>
      <c r="F71" s="12" t="s">
        <v>237</v>
      </c>
      <c r="G71" s="12" t="s">
        <v>80</v>
      </c>
      <c r="H71" s="12" t="s">
        <v>76</v>
      </c>
      <c r="I71" s="12" t="n">
        <v>29</v>
      </c>
      <c r="J71" s="12" t="s">
        <v>40</v>
      </c>
      <c r="K71" s="12" t="s">
        <v>63</v>
      </c>
      <c r="L71" s="12" t="str">
        <f aca="false">IF(OR(H71="Severe",H71="Life-Threatening"),"Yes","No")</f>
        <v>Yes</v>
      </c>
      <c r="M71" s="12" t="str">
        <f aca="false">IF(B71&lt;18,"0-17",IF(B71&lt;40,"18-39",IF(B71&lt;60,"40-59","60+")))</f>
        <v>40-59</v>
      </c>
      <c r="N71" s="12" t="str">
        <f aca="false">IF(I71&lt;=1,"0-1 days",IF(I71&lt;=7,"2-7 days",IF(I71&lt;=30,"8-30 days","&gt;30 days")))</f>
        <v>8-30 days</v>
      </c>
    </row>
    <row r="72" customFormat="false" ht="15" hidden="false" customHeight="false" outlineLevel="0" collapsed="false">
      <c r="A72" s="12" t="s">
        <v>238</v>
      </c>
      <c r="B72" s="12" t="n">
        <v>63</v>
      </c>
      <c r="C72" s="12" t="s">
        <v>43</v>
      </c>
      <c r="D72" s="12" t="s">
        <v>35</v>
      </c>
      <c r="E72" s="12" t="s">
        <v>239</v>
      </c>
      <c r="F72" s="12" t="s">
        <v>62</v>
      </c>
      <c r="G72" s="12" t="s">
        <v>53</v>
      </c>
      <c r="H72" s="12" t="s">
        <v>46</v>
      </c>
      <c r="I72" s="12" t="n">
        <v>15</v>
      </c>
      <c r="J72" s="12" t="s">
        <v>40</v>
      </c>
      <c r="K72" s="12" t="s">
        <v>63</v>
      </c>
      <c r="L72" s="12" t="str">
        <f aca="false">IF(OR(H72="Severe",H72="Life-Threatening"),"Yes","No")</f>
        <v>No</v>
      </c>
      <c r="M72" s="12" t="str">
        <f aca="false">IF(B72&lt;18,"0-17",IF(B72&lt;40,"18-39",IF(B72&lt;60,"40-59","60+")))</f>
        <v>60+</v>
      </c>
      <c r="N72" s="12" t="str">
        <f aca="false">IF(I72&lt;=1,"0-1 days",IF(I72&lt;=7,"2-7 days",IF(I72&lt;=30,"8-30 days","&gt;30 days")))</f>
        <v>8-30 days</v>
      </c>
    </row>
    <row r="73" customFormat="false" ht="15" hidden="false" customHeight="false" outlineLevel="0" collapsed="false">
      <c r="A73" s="12" t="s">
        <v>240</v>
      </c>
      <c r="B73" s="12" t="n">
        <v>12</v>
      </c>
      <c r="C73" s="12" t="s">
        <v>43</v>
      </c>
      <c r="D73" s="12" t="s">
        <v>99</v>
      </c>
      <c r="E73" s="12" t="s">
        <v>241</v>
      </c>
      <c r="F73" s="12" t="s">
        <v>135</v>
      </c>
      <c r="G73" s="12" t="s">
        <v>136</v>
      </c>
      <c r="H73" s="12" t="s">
        <v>46</v>
      </c>
      <c r="I73" s="12" t="n">
        <v>19</v>
      </c>
      <c r="J73" s="12" t="s">
        <v>40</v>
      </c>
      <c r="K73" s="12" t="s">
        <v>63</v>
      </c>
      <c r="L73" s="12" t="str">
        <f aca="false">IF(OR(H73="Severe",H73="Life-Threatening"),"Yes","No")</f>
        <v>No</v>
      </c>
      <c r="M73" s="12" t="str">
        <f aca="false">IF(B73&lt;18,"0-17",IF(B73&lt;40,"18-39",IF(B73&lt;60,"40-59","60+")))</f>
        <v>0-17</v>
      </c>
      <c r="N73" s="12" t="str">
        <f aca="false">IF(I73&lt;=1,"0-1 days",IF(I73&lt;=7,"2-7 days",IF(I73&lt;=30,"8-30 days","&gt;30 days")))</f>
        <v>8-30 days</v>
      </c>
    </row>
    <row r="74" customFormat="false" ht="15" hidden="false" customHeight="false" outlineLevel="0" collapsed="false">
      <c r="A74" s="12" t="s">
        <v>242</v>
      </c>
      <c r="B74" s="12" t="n">
        <v>80</v>
      </c>
      <c r="C74" s="12" t="s">
        <v>34</v>
      </c>
      <c r="D74" s="12" t="s">
        <v>55</v>
      </c>
      <c r="E74" s="12" t="s">
        <v>243</v>
      </c>
      <c r="F74" s="12" t="s">
        <v>45</v>
      </c>
      <c r="G74" s="12" t="s">
        <v>38</v>
      </c>
      <c r="H74" s="12" t="s">
        <v>46</v>
      </c>
      <c r="I74" s="12" t="n">
        <v>18</v>
      </c>
      <c r="J74" s="12" t="s">
        <v>40</v>
      </c>
      <c r="K74" s="12" t="s">
        <v>147</v>
      </c>
      <c r="L74" s="12" t="str">
        <f aca="false">IF(OR(H74="Severe",H74="Life-Threatening"),"Yes","No")</f>
        <v>No</v>
      </c>
      <c r="M74" s="12" t="str">
        <f aca="false">IF(B74&lt;18,"0-17",IF(B74&lt;40,"18-39",IF(B74&lt;60,"40-59","60+")))</f>
        <v>60+</v>
      </c>
      <c r="N74" s="12" t="str">
        <f aca="false">IF(I74&lt;=1,"0-1 days",IF(I74&lt;=7,"2-7 days",IF(I74&lt;=30,"8-30 days","&gt;30 days")))</f>
        <v>8-30 days</v>
      </c>
    </row>
    <row r="75" customFormat="false" ht="15" hidden="false" customHeight="false" outlineLevel="0" collapsed="false">
      <c r="A75" s="12" t="s">
        <v>244</v>
      </c>
      <c r="B75" s="12" t="n">
        <v>82</v>
      </c>
      <c r="C75" s="12" t="s">
        <v>43</v>
      </c>
      <c r="D75" s="12" t="s">
        <v>245</v>
      </c>
      <c r="E75" s="12" t="s">
        <v>61</v>
      </c>
      <c r="F75" s="12" t="s">
        <v>62</v>
      </c>
      <c r="G75" s="12" t="s">
        <v>53</v>
      </c>
      <c r="H75" s="12" t="s">
        <v>39</v>
      </c>
      <c r="I75" s="12" t="n">
        <v>15</v>
      </c>
      <c r="J75" s="12" t="s">
        <v>47</v>
      </c>
      <c r="K75" s="12" t="s">
        <v>48</v>
      </c>
      <c r="L75" s="12" t="str">
        <f aca="false">IF(OR(H75="Severe",H75="Life-Threatening"),"Yes","No")</f>
        <v>No</v>
      </c>
      <c r="M75" s="12" t="str">
        <f aca="false">IF(B75&lt;18,"0-17",IF(B75&lt;40,"18-39",IF(B75&lt;60,"40-59","60+")))</f>
        <v>60+</v>
      </c>
      <c r="N75" s="12" t="str">
        <f aca="false">IF(I75&lt;=1,"0-1 days",IF(I75&lt;=7,"2-7 days",IF(I75&lt;=30,"8-30 days","&gt;30 days")))</f>
        <v>8-30 days</v>
      </c>
    </row>
    <row r="76" customFormat="false" ht="15" hidden="false" customHeight="false" outlineLevel="0" collapsed="false">
      <c r="A76" s="12" t="s">
        <v>246</v>
      </c>
      <c r="B76" s="12" t="n">
        <v>19</v>
      </c>
      <c r="C76" s="12" t="s">
        <v>34</v>
      </c>
      <c r="D76" s="12" t="s">
        <v>117</v>
      </c>
      <c r="E76" s="12" t="s">
        <v>156</v>
      </c>
      <c r="F76" s="12" t="s">
        <v>221</v>
      </c>
      <c r="G76" s="12" t="s">
        <v>94</v>
      </c>
      <c r="H76" s="12" t="s">
        <v>39</v>
      </c>
      <c r="I76" s="12" t="n">
        <v>0</v>
      </c>
      <c r="J76" s="12" t="s">
        <v>47</v>
      </c>
      <c r="K76" s="12" t="s">
        <v>48</v>
      </c>
      <c r="L76" s="12" t="str">
        <f aca="false">IF(OR(H76="Severe",H76="Life-Threatening"),"Yes","No")</f>
        <v>No</v>
      </c>
      <c r="M76" s="12" t="str">
        <f aca="false">IF(B76&lt;18,"0-17",IF(B76&lt;40,"18-39",IF(B76&lt;60,"40-59","60+")))</f>
        <v>18-39</v>
      </c>
      <c r="N76" s="12" t="str">
        <f aca="false">IF(I76&lt;=1,"0-1 days",IF(I76&lt;=7,"2-7 days",IF(I76&lt;=30,"8-30 days","&gt;30 days")))</f>
        <v>0-1 days</v>
      </c>
    </row>
    <row r="77" customFormat="false" ht="15" hidden="false" customHeight="false" outlineLevel="0" collapsed="false">
      <c r="A77" s="12" t="s">
        <v>247</v>
      </c>
      <c r="B77" s="12" t="n">
        <v>80</v>
      </c>
      <c r="C77" s="12" t="s">
        <v>43</v>
      </c>
      <c r="D77" s="12" t="s">
        <v>35</v>
      </c>
      <c r="E77" s="12" t="s">
        <v>107</v>
      </c>
      <c r="F77" s="12" t="s">
        <v>108</v>
      </c>
      <c r="G77" s="12" t="s">
        <v>38</v>
      </c>
      <c r="H77" s="12" t="s">
        <v>39</v>
      </c>
      <c r="I77" s="12" t="n">
        <v>17</v>
      </c>
      <c r="J77" s="12" t="s">
        <v>40</v>
      </c>
      <c r="K77" s="12" t="s">
        <v>48</v>
      </c>
      <c r="L77" s="12" t="str">
        <f aca="false">IF(OR(H77="Severe",H77="Life-Threatening"),"Yes","No")</f>
        <v>No</v>
      </c>
      <c r="M77" s="12" t="str">
        <f aca="false">IF(B77&lt;18,"0-17",IF(B77&lt;40,"18-39",IF(B77&lt;60,"40-59","60+")))</f>
        <v>60+</v>
      </c>
      <c r="N77" s="12" t="str">
        <f aca="false">IF(I77&lt;=1,"0-1 days",IF(I77&lt;=7,"2-7 days",IF(I77&lt;=30,"8-30 days","&gt;30 days")))</f>
        <v>8-30 days</v>
      </c>
    </row>
    <row r="78" customFormat="false" ht="15" hidden="false" customHeight="false" outlineLevel="0" collapsed="false">
      <c r="A78" s="12" t="s">
        <v>248</v>
      </c>
      <c r="B78" s="12" t="n">
        <v>57</v>
      </c>
      <c r="C78" s="12" t="s">
        <v>34</v>
      </c>
      <c r="D78" s="12" t="s">
        <v>85</v>
      </c>
      <c r="E78" s="12" t="s">
        <v>158</v>
      </c>
      <c r="F78" s="12" t="s">
        <v>249</v>
      </c>
      <c r="G78" s="12" t="s">
        <v>152</v>
      </c>
      <c r="H78" s="12" t="s">
        <v>46</v>
      </c>
      <c r="I78" s="12" t="n">
        <v>1</v>
      </c>
      <c r="J78" s="12" t="s">
        <v>47</v>
      </c>
      <c r="K78" s="12" t="s">
        <v>41</v>
      </c>
      <c r="L78" s="12" t="str">
        <f aca="false">IF(OR(H78="Severe",H78="Life-Threatening"),"Yes","No")</f>
        <v>No</v>
      </c>
      <c r="M78" s="12" t="str">
        <f aca="false">IF(B78&lt;18,"0-17",IF(B78&lt;40,"18-39",IF(B78&lt;60,"40-59","60+")))</f>
        <v>40-59</v>
      </c>
      <c r="N78" s="12" t="str">
        <f aca="false">IF(I78&lt;=1,"0-1 days",IF(I78&lt;=7,"2-7 days",IF(I78&lt;=30,"8-30 days","&gt;30 days")))</f>
        <v>0-1 days</v>
      </c>
    </row>
    <row r="79" customFormat="false" ht="15" hidden="false" customHeight="false" outlineLevel="0" collapsed="false">
      <c r="A79" s="12" t="s">
        <v>250</v>
      </c>
      <c r="B79" s="12" t="n">
        <v>55</v>
      </c>
      <c r="C79" s="12" t="s">
        <v>43</v>
      </c>
      <c r="D79" s="12" t="s">
        <v>168</v>
      </c>
      <c r="E79" s="12" t="s">
        <v>227</v>
      </c>
      <c r="F79" s="12" t="s">
        <v>214</v>
      </c>
      <c r="G79" s="12" t="s">
        <v>115</v>
      </c>
      <c r="H79" s="12" t="s">
        <v>46</v>
      </c>
      <c r="I79" s="12" t="n">
        <v>13</v>
      </c>
      <c r="J79" s="12" t="s">
        <v>40</v>
      </c>
      <c r="K79" s="12" t="s">
        <v>63</v>
      </c>
      <c r="L79" s="12" t="str">
        <f aca="false">IF(OR(H79="Severe",H79="Life-Threatening"),"Yes","No")</f>
        <v>No</v>
      </c>
      <c r="M79" s="12" t="str">
        <f aca="false">IF(B79&lt;18,"0-17",IF(B79&lt;40,"18-39",IF(B79&lt;60,"40-59","60+")))</f>
        <v>40-59</v>
      </c>
      <c r="N79" s="12" t="str">
        <f aca="false">IF(I79&lt;=1,"0-1 days",IF(I79&lt;=7,"2-7 days",IF(I79&lt;=30,"8-30 days","&gt;30 days")))</f>
        <v>8-30 days</v>
      </c>
    </row>
    <row r="80" customFormat="false" ht="15" hidden="false" customHeight="false" outlineLevel="0" collapsed="false">
      <c r="A80" s="12" t="s">
        <v>251</v>
      </c>
      <c r="B80" s="12" t="n">
        <v>95</v>
      </c>
      <c r="C80" s="12" t="s">
        <v>43</v>
      </c>
      <c r="D80" s="12" t="s">
        <v>231</v>
      </c>
      <c r="E80" s="12" t="s">
        <v>229</v>
      </c>
      <c r="F80" s="12" t="s">
        <v>139</v>
      </c>
      <c r="G80" s="12" t="s">
        <v>38</v>
      </c>
      <c r="H80" s="12" t="s">
        <v>46</v>
      </c>
      <c r="I80" s="12" t="n">
        <v>29</v>
      </c>
      <c r="J80" s="12" t="s">
        <v>169</v>
      </c>
      <c r="K80" s="12" t="s">
        <v>63</v>
      </c>
      <c r="L80" s="12" t="str">
        <f aca="false">IF(OR(H80="Severe",H80="Life-Threatening"),"Yes","No")</f>
        <v>No</v>
      </c>
      <c r="M80" s="12" t="str">
        <f aca="false">IF(B80&lt;18,"0-17",IF(B80&lt;40,"18-39",IF(B80&lt;60,"40-59","60+")))</f>
        <v>60+</v>
      </c>
      <c r="N80" s="12" t="str">
        <f aca="false">IF(I80&lt;=1,"0-1 days",IF(I80&lt;=7,"2-7 days",IF(I80&lt;=30,"8-30 days","&gt;30 days")))</f>
        <v>8-30 days</v>
      </c>
    </row>
    <row r="81" customFormat="false" ht="15" hidden="false" customHeight="false" outlineLevel="0" collapsed="false">
      <c r="A81" s="12" t="s">
        <v>252</v>
      </c>
      <c r="B81" s="12" t="n">
        <v>51</v>
      </c>
      <c r="C81" s="12" t="s">
        <v>34</v>
      </c>
      <c r="D81" s="12" t="s">
        <v>69</v>
      </c>
      <c r="E81" s="12" t="s">
        <v>253</v>
      </c>
      <c r="F81" s="12" t="s">
        <v>254</v>
      </c>
      <c r="G81" s="12" t="s">
        <v>136</v>
      </c>
      <c r="H81" s="12" t="s">
        <v>39</v>
      </c>
      <c r="I81" s="12" t="n">
        <v>22</v>
      </c>
      <c r="J81" s="12" t="s">
        <v>67</v>
      </c>
      <c r="K81" s="12" t="s">
        <v>63</v>
      </c>
      <c r="L81" s="12" t="str">
        <f aca="false">IF(OR(H81="Severe",H81="Life-Threatening"),"Yes","No")</f>
        <v>No</v>
      </c>
      <c r="M81" s="12" t="str">
        <f aca="false">IF(B81&lt;18,"0-17",IF(B81&lt;40,"18-39",IF(B81&lt;60,"40-59","60+")))</f>
        <v>40-59</v>
      </c>
      <c r="N81" s="12" t="str">
        <f aca="false">IF(I81&lt;=1,"0-1 days",IF(I81&lt;=7,"2-7 days",IF(I81&lt;=30,"8-30 days","&gt;30 days")))</f>
        <v>8-30 days</v>
      </c>
    </row>
    <row r="82" customFormat="false" ht="15" hidden="false" customHeight="false" outlineLevel="0" collapsed="false">
      <c r="A82" s="12" t="s">
        <v>255</v>
      </c>
      <c r="B82" s="12" t="n">
        <v>26</v>
      </c>
      <c r="C82" s="12" t="s">
        <v>43</v>
      </c>
      <c r="D82" s="12" t="s">
        <v>35</v>
      </c>
      <c r="E82" s="12" t="s">
        <v>256</v>
      </c>
      <c r="F82" s="12" t="s">
        <v>257</v>
      </c>
      <c r="G82" s="12" t="s">
        <v>80</v>
      </c>
      <c r="H82" s="12" t="s">
        <v>39</v>
      </c>
      <c r="I82" s="12" t="n">
        <v>20</v>
      </c>
      <c r="J82" s="12" t="s">
        <v>40</v>
      </c>
      <c r="K82" s="12" t="s">
        <v>48</v>
      </c>
      <c r="L82" s="12" t="str">
        <f aca="false">IF(OR(H82="Severe",H82="Life-Threatening"),"Yes","No")</f>
        <v>No</v>
      </c>
      <c r="M82" s="12" t="str">
        <f aca="false">IF(B82&lt;18,"0-17",IF(B82&lt;40,"18-39",IF(B82&lt;60,"40-59","60+")))</f>
        <v>18-39</v>
      </c>
      <c r="N82" s="12" t="str">
        <f aca="false">IF(I82&lt;=1,"0-1 days",IF(I82&lt;=7,"2-7 days",IF(I82&lt;=30,"8-30 days","&gt;30 days")))</f>
        <v>8-30 days</v>
      </c>
    </row>
    <row r="83" customFormat="false" ht="15" hidden="false" customHeight="false" outlineLevel="0" collapsed="false">
      <c r="A83" s="12" t="s">
        <v>258</v>
      </c>
      <c r="B83" s="12" t="n">
        <v>10</v>
      </c>
      <c r="C83" s="12" t="s">
        <v>43</v>
      </c>
      <c r="D83" s="12" t="s">
        <v>55</v>
      </c>
      <c r="E83" s="12" t="s">
        <v>227</v>
      </c>
      <c r="F83" s="12" t="s">
        <v>214</v>
      </c>
      <c r="G83" s="12" t="s">
        <v>115</v>
      </c>
      <c r="H83" s="12" t="s">
        <v>46</v>
      </c>
      <c r="I83" s="12" t="n">
        <v>26</v>
      </c>
      <c r="J83" s="12" t="s">
        <v>40</v>
      </c>
      <c r="K83" s="12" t="s">
        <v>63</v>
      </c>
      <c r="L83" s="12" t="str">
        <f aca="false">IF(OR(H83="Severe",H83="Life-Threatening"),"Yes","No")</f>
        <v>No</v>
      </c>
      <c r="M83" s="12" t="str">
        <f aca="false">IF(B83&lt;18,"0-17",IF(B83&lt;40,"18-39",IF(B83&lt;60,"40-59","60+")))</f>
        <v>0-17</v>
      </c>
      <c r="N83" s="12" t="str">
        <f aca="false">IF(I83&lt;=1,"0-1 days",IF(I83&lt;=7,"2-7 days",IF(I83&lt;=30,"8-30 days","&gt;30 days")))</f>
        <v>8-30 days</v>
      </c>
    </row>
    <row r="84" customFormat="false" ht="15" hidden="false" customHeight="false" outlineLevel="0" collapsed="false">
      <c r="A84" s="12" t="s">
        <v>259</v>
      </c>
      <c r="B84" s="12" t="n">
        <v>81</v>
      </c>
      <c r="C84" s="12" t="s">
        <v>43</v>
      </c>
      <c r="D84" s="12" t="s">
        <v>163</v>
      </c>
      <c r="E84" s="12" t="s">
        <v>229</v>
      </c>
      <c r="F84" s="12" t="s">
        <v>214</v>
      </c>
      <c r="G84" s="12" t="s">
        <v>115</v>
      </c>
      <c r="H84" s="12" t="s">
        <v>39</v>
      </c>
      <c r="I84" s="12" t="n">
        <v>16</v>
      </c>
      <c r="J84" s="12" t="s">
        <v>40</v>
      </c>
      <c r="K84" s="12" t="s">
        <v>48</v>
      </c>
      <c r="L84" s="12" t="str">
        <f aca="false">IF(OR(H84="Severe",H84="Life-Threatening"),"Yes","No")</f>
        <v>No</v>
      </c>
      <c r="M84" s="12" t="str">
        <f aca="false">IF(B84&lt;18,"0-17",IF(B84&lt;40,"18-39",IF(B84&lt;60,"40-59","60+")))</f>
        <v>60+</v>
      </c>
      <c r="N84" s="12" t="str">
        <f aca="false">IF(I84&lt;=1,"0-1 days",IF(I84&lt;=7,"2-7 days",IF(I84&lt;=30,"8-30 days","&gt;30 days")))</f>
        <v>8-30 days</v>
      </c>
    </row>
    <row r="85" customFormat="false" ht="15" hidden="false" customHeight="false" outlineLevel="0" collapsed="false">
      <c r="A85" s="12" t="s">
        <v>260</v>
      </c>
      <c r="B85" s="12" t="n">
        <v>50</v>
      </c>
      <c r="C85" s="12" t="s">
        <v>34</v>
      </c>
      <c r="D85" s="12" t="s">
        <v>234</v>
      </c>
      <c r="E85" s="12" t="s">
        <v>261</v>
      </c>
      <c r="F85" s="12" t="s">
        <v>45</v>
      </c>
      <c r="G85" s="12" t="s">
        <v>38</v>
      </c>
      <c r="H85" s="12" t="s">
        <v>46</v>
      </c>
      <c r="I85" s="12" t="n">
        <v>18</v>
      </c>
      <c r="J85" s="12" t="s">
        <v>47</v>
      </c>
      <c r="K85" s="12" t="s">
        <v>63</v>
      </c>
      <c r="L85" s="12" t="str">
        <f aca="false">IF(OR(H85="Severe",H85="Life-Threatening"),"Yes","No")</f>
        <v>No</v>
      </c>
      <c r="M85" s="12" t="str">
        <f aca="false">IF(B85&lt;18,"0-17",IF(B85&lt;40,"18-39",IF(B85&lt;60,"40-59","60+")))</f>
        <v>40-59</v>
      </c>
      <c r="N85" s="12" t="str">
        <f aca="false">IF(I85&lt;=1,"0-1 days",IF(I85&lt;=7,"2-7 days",IF(I85&lt;=30,"8-30 days","&gt;30 days")))</f>
        <v>8-30 days</v>
      </c>
    </row>
    <row r="86" customFormat="false" ht="15" hidden="false" customHeight="false" outlineLevel="0" collapsed="false">
      <c r="A86" s="12" t="s">
        <v>262</v>
      </c>
      <c r="B86" s="12" t="n">
        <v>44</v>
      </c>
      <c r="C86" s="12" t="s">
        <v>43</v>
      </c>
      <c r="D86" s="12" t="s">
        <v>155</v>
      </c>
      <c r="E86" s="12" t="s">
        <v>61</v>
      </c>
      <c r="F86" s="12" t="s">
        <v>45</v>
      </c>
      <c r="G86" s="12" t="s">
        <v>38</v>
      </c>
      <c r="H86" s="12" t="s">
        <v>46</v>
      </c>
      <c r="I86" s="12" t="n">
        <v>29</v>
      </c>
      <c r="J86" s="12" t="s">
        <v>40</v>
      </c>
      <c r="K86" s="12" t="s">
        <v>48</v>
      </c>
      <c r="L86" s="12" t="str">
        <f aca="false">IF(OR(H86="Severe",H86="Life-Threatening"),"Yes","No")</f>
        <v>No</v>
      </c>
      <c r="M86" s="12" t="str">
        <f aca="false">IF(B86&lt;18,"0-17",IF(B86&lt;40,"18-39",IF(B86&lt;60,"40-59","60+")))</f>
        <v>40-59</v>
      </c>
      <c r="N86" s="12" t="str">
        <f aca="false">IF(I86&lt;=1,"0-1 days",IF(I86&lt;=7,"2-7 days",IF(I86&lt;=30,"8-30 days","&gt;30 days")))</f>
        <v>8-30 days</v>
      </c>
    </row>
    <row r="87" customFormat="false" ht="15" hidden="false" customHeight="false" outlineLevel="0" collapsed="false">
      <c r="A87" s="12" t="s">
        <v>263</v>
      </c>
      <c r="B87" s="12" t="n">
        <v>45</v>
      </c>
      <c r="C87" s="12" t="s">
        <v>43</v>
      </c>
      <c r="D87" s="12" t="s">
        <v>168</v>
      </c>
      <c r="E87" s="12" t="s">
        <v>256</v>
      </c>
      <c r="F87" s="12" t="s">
        <v>264</v>
      </c>
      <c r="G87" s="12" t="s">
        <v>104</v>
      </c>
      <c r="H87" s="12" t="s">
        <v>76</v>
      </c>
      <c r="I87" s="12" t="n">
        <v>38</v>
      </c>
      <c r="J87" s="12" t="s">
        <v>67</v>
      </c>
      <c r="K87" s="12" t="s">
        <v>48</v>
      </c>
      <c r="L87" s="12" t="str">
        <f aca="false">IF(OR(H87="Severe",H87="Life-Threatening"),"Yes","No")</f>
        <v>Yes</v>
      </c>
      <c r="M87" s="12" t="str">
        <f aca="false">IF(B87&lt;18,"0-17",IF(B87&lt;40,"18-39",IF(B87&lt;60,"40-59","60+")))</f>
        <v>40-59</v>
      </c>
      <c r="N87" s="12" t="str">
        <f aca="false">IF(I87&lt;=1,"0-1 days",IF(I87&lt;=7,"2-7 days",IF(I87&lt;=30,"8-30 days","&gt;30 days")))</f>
        <v>&gt;30 days</v>
      </c>
    </row>
    <row r="88" customFormat="false" ht="15" hidden="false" customHeight="false" outlineLevel="0" collapsed="false">
      <c r="A88" s="12" t="s">
        <v>265</v>
      </c>
      <c r="B88" s="12" t="n">
        <v>77</v>
      </c>
      <c r="C88" s="12" t="s">
        <v>34</v>
      </c>
      <c r="D88" s="12" t="s">
        <v>155</v>
      </c>
      <c r="E88" s="12" t="s">
        <v>266</v>
      </c>
      <c r="F88" s="12" t="s">
        <v>103</v>
      </c>
      <c r="G88" s="12" t="s">
        <v>104</v>
      </c>
      <c r="H88" s="12" t="s">
        <v>39</v>
      </c>
      <c r="I88" s="12" t="n">
        <v>26</v>
      </c>
      <c r="J88" s="12" t="s">
        <v>40</v>
      </c>
      <c r="K88" s="12" t="s">
        <v>63</v>
      </c>
      <c r="L88" s="12" t="str">
        <f aca="false">IF(OR(H88="Severe",H88="Life-Threatening"),"Yes","No")</f>
        <v>No</v>
      </c>
      <c r="M88" s="12" t="str">
        <f aca="false">IF(B88&lt;18,"0-17",IF(B88&lt;40,"18-39",IF(B88&lt;60,"40-59","60+")))</f>
        <v>60+</v>
      </c>
      <c r="N88" s="12" t="str">
        <f aca="false">IF(I88&lt;=1,"0-1 days",IF(I88&lt;=7,"2-7 days",IF(I88&lt;=30,"8-30 days","&gt;30 days")))</f>
        <v>8-30 days</v>
      </c>
    </row>
    <row r="89" customFormat="false" ht="15" hidden="false" customHeight="false" outlineLevel="0" collapsed="false">
      <c r="A89" s="12" t="s">
        <v>267</v>
      </c>
      <c r="B89" s="12" t="n">
        <v>49</v>
      </c>
      <c r="C89" s="12" t="s">
        <v>34</v>
      </c>
      <c r="D89" s="12" t="s">
        <v>144</v>
      </c>
      <c r="E89" s="12" t="s">
        <v>268</v>
      </c>
      <c r="F89" s="12" t="s">
        <v>269</v>
      </c>
      <c r="G89" s="12" t="s">
        <v>38</v>
      </c>
      <c r="H89" s="12" t="s">
        <v>39</v>
      </c>
      <c r="I89" s="12" t="n">
        <v>17</v>
      </c>
      <c r="J89" s="12" t="s">
        <v>47</v>
      </c>
      <c r="K89" s="12" t="s">
        <v>63</v>
      </c>
      <c r="L89" s="12" t="str">
        <f aca="false">IF(OR(H89="Severe",H89="Life-Threatening"),"Yes","No")</f>
        <v>No</v>
      </c>
      <c r="M89" s="12" t="str">
        <f aca="false">IF(B89&lt;18,"0-17",IF(B89&lt;40,"18-39",IF(B89&lt;60,"40-59","60+")))</f>
        <v>40-59</v>
      </c>
      <c r="N89" s="12" t="str">
        <f aca="false">IF(I89&lt;=1,"0-1 days",IF(I89&lt;=7,"2-7 days",IF(I89&lt;=30,"8-30 days","&gt;30 days")))</f>
        <v>8-30 days</v>
      </c>
    </row>
    <row r="90" customFormat="false" ht="15" hidden="false" customHeight="false" outlineLevel="0" collapsed="false">
      <c r="A90" s="12" t="s">
        <v>270</v>
      </c>
      <c r="B90" s="12" t="n">
        <v>67</v>
      </c>
      <c r="C90" s="12" t="s">
        <v>43</v>
      </c>
      <c r="D90" s="12" t="s">
        <v>155</v>
      </c>
      <c r="E90" s="12" t="s">
        <v>175</v>
      </c>
      <c r="F90" s="12" t="s">
        <v>176</v>
      </c>
      <c r="G90" s="12" t="s">
        <v>177</v>
      </c>
      <c r="H90" s="12" t="s">
        <v>39</v>
      </c>
      <c r="I90" s="12" t="n">
        <v>7</v>
      </c>
      <c r="J90" s="12" t="s">
        <v>47</v>
      </c>
      <c r="K90" s="12" t="s">
        <v>63</v>
      </c>
      <c r="L90" s="12" t="str">
        <f aca="false">IF(OR(H90="Severe",H90="Life-Threatening"),"Yes","No")</f>
        <v>No</v>
      </c>
      <c r="M90" s="12" t="str">
        <f aca="false">IF(B90&lt;18,"0-17",IF(B90&lt;40,"18-39",IF(B90&lt;60,"40-59","60+")))</f>
        <v>60+</v>
      </c>
      <c r="N90" s="12" t="str">
        <f aca="false">IF(I90&lt;=1,"0-1 days",IF(I90&lt;=7,"2-7 days",IF(I90&lt;=30,"8-30 days","&gt;30 days")))</f>
        <v>2-7 days</v>
      </c>
    </row>
    <row r="91" customFormat="false" ht="15" hidden="false" customHeight="false" outlineLevel="0" collapsed="false">
      <c r="A91" s="12" t="s">
        <v>271</v>
      </c>
      <c r="B91" s="12" t="n">
        <v>29</v>
      </c>
      <c r="C91" s="12" t="s">
        <v>43</v>
      </c>
      <c r="D91" s="12" t="s">
        <v>196</v>
      </c>
      <c r="E91" s="12" t="s">
        <v>272</v>
      </c>
      <c r="F91" s="12" t="s">
        <v>214</v>
      </c>
      <c r="G91" s="12" t="s">
        <v>115</v>
      </c>
      <c r="H91" s="12" t="s">
        <v>39</v>
      </c>
      <c r="I91" s="12" t="n">
        <v>3</v>
      </c>
      <c r="J91" s="12" t="s">
        <v>47</v>
      </c>
      <c r="K91" s="12" t="s">
        <v>48</v>
      </c>
      <c r="L91" s="12" t="str">
        <f aca="false">IF(OR(H91="Severe",H91="Life-Threatening"),"Yes","No")</f>
        <v>No</v>
      </c>
      <c r="M91" s="12" t="str">
        <f aca="false">IF(B91&lt;18,"0-17",IF(B91&lt;40,"18-39",IF(B91&lt;60,"40-59","60+")))</f>
        <v>18-39</v>
      </c>
      <c r="N91" s="12" t="str">
        <f aca="false">IF(I91&lt;=1,"0-1 days",IF(I91&lt;=7,"2-7 days",IF(I91&lt;=30,"8-30 days","&gt;30 days")))</f>
        <v>2-7 days</v>
      </c>
    </row>
    <row r="92" customFormat="false" ht="15" hidden="false" customHeight="false" outlineLevel="0" collapsed="false">
      <c r="A92" s="12" t="s">
        <v>273</v>
      </c>
      <c r="B92" s="12" t="n">
        <v>67</v>
      </c>
      <c r="C92" s="12" t="s">
        <v>34</v>
      </c>
      <c r="D92" s="12" t="s">
        <v>55</v>
      </c>
      <c r="E92" s="12" t="s">
        <v>268</v>
      </c>
      <c r="F92" s="12" t="s">
        <v>274</v>
      </c>
      <c r="G92" s="12" t="s">
        <v>146</v>
      </c>
      <c r="H92" s="12" t="s">
        <v>39</v>
      </c>
      <c r="I92" s="12" t="n">
        <v>17</v>
      </c>
      <c r="J92" s="12" t="s">
        <v>40</v>
      </c>
      <c r="K92" s="12" t="s">
        <v>48</v>
      </c>
      <c r="L92" s="12" t="str">
        <f aca="false">IF(OR(H92="Severe",H92="Life-Threatening"),"Yes","No")</f>
        <v>No</v>
      </c>
      <c r="M92" s="12" t="str">
        <f aca="false">IF(B92&lt;18,"0-17",IF(B92&lt;40,"18-39",IF(B92&lt;60,"40-59","60+")))</f>
        <v>60+</v>
      </c>
      <c r="N92" s="12" t="str">
        <f aca="false">IF(I92&lt;=1,"0-1 days",IF(I92&lt;=7,"2-7 days",IF(I92&lt;=30,"8-30 days","&gt;30 days")))</f>
        <v>8-30 days</v>
      </c>
    </row>
    <row r="93" customFormat="false" ht="15" hidden="false" customHeight="false" outlineLevel="0" collapsed="false">
      <c r="A93" s="12" t="s">
        <v>275</v>
      </c>
      <c r="B93" s="12" t="n">
        <v>32</v>
      </c>
      <c r="C93" s="12" t="s">
        <v>34</v>
      </c>
      <c r="D93" s="12" t="s">
        <v>102</v>
      </c>
      <c r="E93" s="12" t="s">
        <v>261</v>
      </c>
      <c r="F93" s="12" t="s">
        <v>45</v>
      </c>
      <c r="G93" s="12" t="s">
        <v>38</v>
      </c>
      <c r="H93" s="12" t="s">
        <v>59</v>
      </c>
      <c r="I93" s="12" t="n">
        <v>18</v>
      </c>
      <c r="J93" s="12" t="s">
        <v>169</v>
      </c>
      <c r="K93" s="12" t="s">
        <v>48</v>
      </c>
      <c r="L93" s="12" t="str">
        <f aca="false">IF(OR(H93="Severe",H93="Life-Threatening"),"Yes","No")</f>
        <v>Yes</v>
      </c>
      <c r="M93" s="12" t="str">
        <f aca="false">IF(B93&lt;18,"0-17",IF(B93&lt;40,"18-39",IF(B93&lt;60,"40-59","60+")))</f>
        <v>18-39</v>
      </c>
      <c r="N93" s="12" t="str">
        <f aca="false">IF(I93&lt;=1,"0-1 days",IF(I93&lt;=7,"2-7 days",IF(I93&lt;=30,"8-30 days","&gt;30 days")))</f>
        <v>8-30 days</v>
      </c>
    </row>
    <row r="94" customFormat="false" ht="15" hidden="false" customHeight="false" outlineLevel="0" collapsed="false">
      <c r="A94" s="12" t="s">
        <v>276</v>
      </c>
      <c r="B94" s="12" t="n">
        <v>30</v>
      </c>
      <c r="C94" s="12" t="s">
        <v>43</v>
      </c>
      <c r="D94" s="12" t="s">
        <v>55</v>
      </c>
      <c r="E94" s="12" t="s">
        <v>121</v>
      </c>
      <c r="F94" s="12" t="s">
        <v>45</v>
      </c>
      <c r="G94" s="12" t="s">
        <v>38</v>
      </c>
      <c r="H94" s="12" t="s">
        <v>39</v>
      </c>
      <c r="I94" s="12" t="n">
        <v>12</v>
      </c>
      <c r="J94" s="12" t="s">
        <v>47</v>
      </c>
      <c r="K94" s="12" t="s">
        <v>48</v>
      </c>
      <c r="L94" s="12" t="str">
        <f aca="false">IF(OR(H94="Severe",H94="Life-Threatening"),"Yes","No")</f>
        <v>No</v>
      </c>
      <c r="M94" s="12" t="str">
        <f aca="false">IF(B94&lt;18,"0-17",IF(B94&lt;40,"18-39",IF(B94&lt;60,"40-59","60+")))</f>
        <v>18-39</v>
      </c>
      <c r="N94" s="12" t="str">
        <f aca="false">IF(I94&lt;=1,"0-1 days",IF(I94&lt;=7,"2-7 days",IF(I94&lt;=30,"8-30 days","&gt;30 days")))</f>
        <v>8-30 days</v>
      </c>
    </row>
    <row r="95" customFormat="false" ht="15" hidden="false" customHeight="false" outlineLevel="0" collapsed="false">
      <c r="A95" s="12" t="s">
        <v>277</v>
      </c>
      <c r="B95" s="12" t="n">
        <v>27</v>
      </c>
      <c r="C95" s="12" t="s">
        <v>43</v>
      </c>
      <c r="D95" s="12" t="s">
        <v>55</v>
      </c>
      <c r="E95" s="12" t="s">
        <v>36</v>
      </c>
      <c r="F95" s="12" t="s">
        <v>37</v>
      </c>
      <c r="G95" s="12" t="s">
        <v>38</v>
      </c>
      <c r="H95" s="12" t="s">
        <v>46</v>
      </c>
      <c r="I95" s="12" t="n">
        <v>3</v>
      </c>
      <c r="J95" s="12" t="s">
        <v>40</v>
      </c>
      <c r="K95" s="12" t="s">
        <v>48</v>
      </c>
      <c r="L95" s="12" t="str">
        <f aca="false">IF(OR(H95="Severe",H95="Life-Threatening"),"Yes","No")</f>
        <v>No</v>
      </c>
      <c r="M95" s="12" t="str">
        <f aca="false">IF(B95&lt;18,"0-17",IF(B95&lt;40,"18-39",IF(B95&lt;60,"40-59","60+")))</f>
        <v>18-39</v>
      </c>
      <c r="N95" s="12" t="str">
        <f aca="false">IF(I95&lt;=1,"0-1 days",IF(I95&lt;=7,"2-7 days",IF(I95&lt;=30,"8-30 days","&gt;30 days")))</f>
        <v>2-7 days</v>
      </c>
    </row>
    <row r="96" customFormat="false" ht="15" hidden="false" customHeight="false" outlineLevel="0" collapsed="false">
      <c r="A96" s="12" t="s">
        <v>278</v>
      </c>
      <c r="B96" s="12" t="n">
        <v>31</v>
      </c>
      <c r="C96" s="12" t="s">
        <v>34</v>
      </c>
      <c r="D96" s="12" t="s">
        <v>69</v>
      </c>
      <c r="E96" s="12" t="s">
        <v>268</v>
      </c>
      <c r="F96" s="12" t="s">
        <v>274</v>
      </c>
      <c r="G96" s="12" t="s">
        <v>146</v>
      </c>
      <c r="H96" s="12" t="s">
        <v>39</v>
      </c>
      <c r="I96" s="12" t="n">
        <v>6</v>
      </c>
      <c r="J96" s="12" t="s">
        <v>40</v>
      </c>
      <c r="K96" s="12" t="s">
        <v>48</v>
      </c>
      <c r="L96" s="12" t="str">
        <f aca="false">IF(OR(H96="Severe",H96="Life-Threatening"),"Yes","No")</f>
        <v>No</v>
      </c>
      <c r="M96" s="12" t="str">
        <f aca="false">IF(B96&lt;18,"0-17",IF(B96&lt;40,"18-39",IF(B96&lt;60,"40-59","60+")))</f>
        <v>18-39</v>
      </c>
      <c r="N96" s="12" t="str">
        <f aca="false">IF(I96&lt;=1,"0-1 days",IF(I96&lt;=7,"2-7 days",IF(I96&lt;=30,"8-30 days","&gt;30 days")))</f>
        <v>2-7 days</v>
      </c>
    </row>
    <row r="97" customFormat="false" ht="15" hidden="false" customHeight="false" outlineLevel="0" collapsed="false">
      <c r="A97" s="12" t="s">
        <v>279</v>
      </c>
      <c r="B97" s="12" t="n">
        <v>41</v>
      </c>
      <c r="C97" s="12" t="s">
        <v>43</v>
      </c>
      <c r="D97" s="12" t="s">
        <v>55</v>
      </c>
      <c r="E97" s="12" t="s">
        <v>280</v>
      </c>
      <c r="F97" s="12" t="s">
        <v>45</v>
      </c>
      <c r="G97" s="12" t="s">
        <v>38</v>
      </c>
      <c r="H97" s="12" t="s">
        <v>39</v>
      </c>
      <c r="I97" s="12" t="n">
        <v>19</v>
      </c>
      <c r="J97" s="12" t="s">
        <v>40</v>
      </c>
      <c r="K97" s="12" t="s">
        <v>48</v>
      </c>
      <c r="L97" s="12" t="str">
        <f aca="false">IF(OR(H97="Severe",H97="Life-Threatening"),"Yes","No")</f>
        <v>No</v>
      </c>
      <c r="M97" s="12" t="str">
        <f aca="false">IF(B97&lt;18,"0-17",IF(B97&lt;40,"18-39",IF(B97&lt;60,"40-59","60+")))</f>
        <v>40-59</v>
      </c>
      <c r="N97" s="12" t="str">
        <f aca="false">IF(I97&lt;=1,"0-1 days",IF(I97&lt;=7,"2-7 days",IF(I97&lt;=30,"8-30 days","&gt;30 days")))</f>
        <v>8-30 days</v>
      </c>
    </row>
    <row r="98" customFormat="false" ht="15" hidden="false" customHeight="false" outlineLevel="0" collapsed="false">
      <c r="A98" s="12" t="s">
        <v>281</v>
      </c>
      <c r="B98" s="12" t="n">
        <v>67</v>
      </c>
      <c r="C98" s="12" t="s">
        <v>43</v>
      </c>
      <c r="D98" s="12" t="s">
        <v>245</v>
      </c>
      <c r="E98" s="12" t="s">
        <v>118</v>
      </c>
      <c r="F98" s="12" t="s">
        <v>45</v>
      </c>
      <c r="G98" s="12" t="s">
        <v>38</v>
      </c>
      <c r="H98" s="12" t="s">
        <v>46</v>
      </c>
      <c r="I98" s="12" t="n">
        <v>20</v>
      </c>
      <c r="J98" s="12" t="s">
        <v>40</v>
      </c>
      <c r="K98" s="12" t="s">
        <v>63</v>
      </c>
      <c r="L98" s="12" t="str">
        <f aca="false">IF(OR(H98="Severe",H98="Life-Threatening"),"Yes","No")</f>
        <v>No</v>
      </c>
      <c r="M98" s="12" t="str">
        <f aca="false">IF(B98&lt;18,"0-17",IF(B98&lt;40,"18-39",IF(B98&lt;60,"40-59","60+")))</f>
        <v>60+</v>
      </c>
      <c r="N98" s="12" t="str">
        <f aca="false">IF(I98&lt;=1,"0-1 days",IF(I98&lt;=7,"2-7 days",IF(I98&lt;=30,"8-30 days","&gt;30 days")))</f>
        <v>8-30 days</v>
      </c>
    </row>
    <row r="99" customFormat="false" ht="15" hidden="false" customHeight="false" outlineLevel="0" collapsed="false">
      <c r="A99" s="12" t="s">
        <v>282</v>
      </c>
      <c r="B99" s="12" t="n">
        <v>40</v>
      </c>
      <c r="C99" s="12" t="s">
        <v>43</v>
      </c>
      <c r="D99" s="12" t="s">
        <v>88</v>
      </c>
      <c r="E99" s="12" t="s">
        <v>229</v>
      </c>
      <c r="F99" s="12" t="s">
        <v>139</v>
      </c>
      <c r="G99" s="12" t="s">
        <v>38</v>
      </c>
      <c r="H99" s="12" t="s">
        <v>46</v>
      </c>
      <c r="I99" s="12" t="n">
        <v>18</v>
      </c>
      <c r="J99" s="12" t="s">
        <v>40</v>
      </c>
      <c r="K99" s="12" t="s">
        <v>63</v>
      </c>
      <c r="L99" s="12" t="str">
        <f aca="false">IF(OR(H99="Severe",H99="Life-Threatening"),"Yes","No")</f>
        <v>No</v>
      </c>
      <c r="M99" s="12" t="str">
        <f aca="false">IF(B99&lt;18,"0-17",IF(B99&lt;40,"18-39",IF(B99&lt;60,"40-59","60+")))</f>
        <v>40-59</v>
      </c>
      <c r="N99" s="12" t="str">
        <f aca="false">IF(I99&lt;=1,"0-1 days",IF(I99&lt;=7,"2-7 days",IF(I99&lt;=30,"8-30 days","&gt;30 days")))</f>
        <v>8-30 days</v>
      </c>
    </row>
    <row r="100" customFormat="false" ht="15" hidden="false" customHeight="false" outlineLevel="0" collapsed="false">
      <c r="A100" s="12" t="s">
        <v>283</v>
      </c>
      <c r="B100" s="12" t="n">
        <v>1</v>
      </c>
      <c r="C100" s="12" t="s">
        <v>43</v>
      </c>
      <c r="D100" s="12" t="s">
        <v>117</v>
      </c>
      <c r="E100" s="12" t="s">
        <v>127</v>
      </c>
      <c r="F100" s="12" t="s">
        <v>284</v>
      </c>
      <c r="G100" s="12" t="s">
        <v>136</v>
      </c>
      <c r="H100" s="12" t="s">
        <v>59</v>
      </c>
      <c r="I100" s="12" t="n">
        <v>36</v>
      </c>
      <c r="J100" s="12" t="s">
        <v>40</v>
      </c>
      <c r="K100" s="12" t="s">
        <v>63</v>
      </c>
      <c r="L100" s="12" t="str">
        <f aca="false">IF(OR(H100="Severe",H100="Life-Threatening"),"Yes","No")</f>
        <v>Yes</v>
      </c>
      <c r="M100" s="12" t="str">
        <f aca="false">IF(B100&lt;18,"0-17",IF(B100&lt;40,"18-39",IF(B100&lt;60,"40-59","60+")))</f>
        <v>0-17</v>
      </c>
      <c r="N100" s="12" t="str">
        <f aca="false">IF(I100&lt;=1,"0-1 days",IF(I100&lt;=7,"2-7 days",IF(I100&lt;=30,"8-30 days","&gt;30 days")))</f>
        <v>&gt;30 days</v>
      </c>
    </row>
    <row r="101" customFormat="false" ht="15" hidden="false" customHeight="false" outlineLevel="0" collapsed="false">
      <c r="A101" s="12" t="s">
        <v>285</v>
      </c>
      <c r="B101" s="12" t="n">
        <v>37</v>
      </c>
      <c r="C101" s="12" t="s">
        <v>43</v>
      </c>
      <c r="D101" s="12" t="s">
        <v>99</v>
      </c>
      <c r="E101" s="12" t="s">
        <v>181</v>
      </c>
      <c r="F101" s="12" t="s">
        <v>37</v>
      </c>
      <c r="G101" s="12" t="s">
        <v>38</v>
      </c>
      <c r="H101" s="12" t="s">
        <v>39</v>
      </c>
      <c r="I101" s="12" t="n">
        <v>24</v>
      </c>
      <c r="J101" s="12" t="s">
        <v>40</v>
      </c>
      <c r="K101" s="12" t="s">
        <v>63</v>
      </c>
      <c r="L101" s="12" t="str">
        <f aca="false">IF(OR(H101="Severe",H101="Life-Threatening"),"Yes","No")</f>
        <v>No</v>
      </c>
      <c r="M101" s="12" t="str">
        <f aca="false">IF(B101&lt;18,"0-17",IF(B101&lt;40,"18-39",IF(B101&lt;60,"40-59","60+")))</f>
        <v>18-39</v>
      </c>
      <c r="N101" s="12" t="str">
        <f aca="false">IF(I101&lt;=1,"0-1 days",IF(I101&lt;=7,"2-7 days",IF(I101&lt;=30,"8-30 days","&gt;30 days")))</f>
        <v>8-30 days</v>
      </c>
    </row>
    <row r="102" customFormat="false" ht="15" hidden="false" customHeight="false" outlineLevel="0" collapsed="false">
      <c r="A102" s="12" t="s">
        <v>286</v>
      </c>
      <c r="B102" s="12" t="n">
        <v>58</v>
      </c>
      <c r="C102" s="12" t="s">
        <v>43</v>
      </c>
      <c r="D102" s="12" t="s">
        <v>155</v>
      </c>
      <c r="E102" s="12" t="s">
        <v>287</v>
      </c>
      <c r="F102" s="12" t="s">
        <v>45</v>
      </c>
      <c r="G102" s="12" t="s">
        <v>38</v>
      </c>
      <c r="H102" s="12" t="s">
        <v>46</v>
      </c>
      <c r="I102" s="12" t="n">
        <v>2</v>
      </c>
      <c r="J102" s="12" t="s">
        <v>47</v>
      </c>
      <c r="K102" s="12" t="s">
        <v>48</v>
      </c>
      <c r="L102" s="12" t="str">
        <f aca="false">IF(OR(H102="Severe",H102="Life-Threatening"),"Yes","No")</f>
        <v>No</v>
      </c>
      <c r="M102" s="12" t="str">
        <f aca="false">IF(B102&lt;18,"0-17",IF(B102&lt;40,"18-39",IF(B102&lt;60,"40-59","60+")))</f>
        <v>40-59</v>
      </c>
      <c r="N102" s="12" t="str">
        <f aca="false">IF(I102&lt;=1,"0-1 days",IF(I102&lt;=7,"2-7 days",IF(I102&lt;=30,"8-30 days","&gt;30 days")))</f>
        <v>2-7 days</v>
      </c>
    </row>
    <row r="103" customFormat="false" ht="15" hidden="false" customHeight="false" outlineLevel="0" collapsed="false">
      <c r="A103" s="12" t="s">
        <v>288</v>
      </c>
      <c r="B103" s="12" t="n">
        <v>81</v>
      </c>
      <c r="C103" s="12" t="s">
        <v>34</v>
      </c>
      <c r="D103" s="12" t="s">
        <v>190</v>
      </c>
      <c r="E103" s="12" t="s">
        <v>183</v>
      </c>
      <c r="F103" s="12" t="s">
        <v>139</v>
      </c>
      <c r="G103" s="12" t="s">
        <v>38</v>
      </c>
      <c r="H103" s="12" t="s">
        <v>76</v>
      </c>
      <c r="I103" s="12" t="n">
        <v>9</v>
      </c>
      <c r="J103" s="12" t="s">
        <v>169</v>
      </c>
      <c r="K103" s="12" t="s">
        <v>48</v>
      </c>
      <c r="L103" s="12" t="str">
        <f aca="false">IF(OR(H103="Severe",H103="Life-Threatening"),"Yes","No")</f>
        <v>Yes</v>
      </c>
      <c r="M103" s="12" t="str">
        <f aca="false">IF(B103&lt;18,"0-17",IF(B103&lt;40,"18-39",IF(B103&lt;60,"40-59","60+")))</f>
        <v>60+</v>
      </c>
      <c r="N103" s="12" t="str">
        <f aca="false">IF(I103&lt;=1,"0-1 days",IF(I103&lt;=7,"2-7 days",IF(I103&lt;=30,"8-30 days","&gt;30 days")))</f>
        <v>8-30 days</v>
      </c>
    </row>
    <row r="104" customFormat="false" ht="15" hidden="false" customHeight="false" outlineLevel="0" collapsed="false">
      <c r="A104" s="12" t="s">
        <v>289</v>
      </c>
      <c r="B104" s="12" t="n">
        <v>13</v>
      </c>
      <c r="C104" s="12" t="s">
        <v>43</v>
      </c>
      <c r="D104" s="12" t="s">
        <v>123</v>
      </c>
      <c r="E104" s="12" t="s">
        <v>61</v>
      </c>
      <c r="F104" s="12" t="s">
        <v>62</v>
      </c>
      <c r="G104" s="12" t="s">
        <v>53</v>
      </c>
      <c r="H104" s="12" t="s">
        <v>39</v>
      </c>
      <c r="I104" s="12" t="n">
        <v>1</v>
      </c>
      <c r="J104" s="12" t="s">
        <v>40</v>
      </c>
      <c r="K104" s="12" t="s">
        <v>41</v>
      </c>
      <c r="L104" s="12" t="str">
        <f aca="false">IF(OR(H104="Severe",H104="Life-Threatening"),"Yes","No")</f>
        <v>No</v>
      </c>
      <c r="M104" s="12" t="str">
        <f aca="false">IF(B104&lt;18,"0-17",IF(B104&lt;40,"18-39",IF(B104&lt;60,"40-59","60+")))</f>
        <v>0-17</v>
      </c>
      <c r="N104" s="12" t="str">
        <f aca="false">IF(I104&lt;=1,"0-1 days",IF(I104&lt;=7,"2-7 days",IF(I104&lt;=30,"8-30 days","&gt;30 days")))</f>
        <v>0-1 days</v>
      </c>
    </row>
    <row r="105" customFormat="false" ht="15" hidden="false" customHeight="false" outlineLevel="0" collapsed="false">
      <c r="A105" s="12" t="s">
        <v>290</v>
      </c>
      <c r="B105" s="12" t="n">
        <v>77</v>
      </c>
      <c r="C105" s="12" t="s">
        <v>34</v>
      </c>
      <c r="D105" s="12" t="s">
        <v>245</v>
      </c>
      <c r="E105" s="12" t="s">
        <v>291</v>
      </c>
      <c r="F105" s="12" t="s">
        <v>292</v>
      </c>
      <c r="G105" s="12" t="s">
        <v>115</v>
      </c>
      <c r="H105" s="12" t="s">
        <v>39</v>
      </c>
      <c r="I105" s="12" t="n">
        <v>31</v>
      </c>
      <c r="J105" s="12" t="s">
        <v>40</v>
      </c>
      <c r="K105" s="12" t="s">
        <v>147</v>
      </c>
      <c r="L105" s="12" t="str">
        <f aca="false">IF(OR(H105="Severe",H105="Life-Threatening"),"Yes","No")</f>
        <v>No</v>
      </c>
      <c r="M105" s="12" t="str">
        <f aca="false">IF(B105&lt;18,"0-17",IF(B105&lt;40,"18-39",IF(B105&lt;60,"40-59","60+")))</f>
        <v>60+</v>
      </c>
      <c r="N105" s="12" t="str">
        <f aca="false">IF(I105&lt;=1,"0-1 days",IF(I105&lt;=7,"2-7 days",IF(I105&lt;=30,"8-30 days","&gt;30 days")))</f>
        <v>&gt;30 days</v>
      </c>
    </row>
    <row r="106" customFormat="false" ht="15" hidden="false" customHeight="false" outlineLevel="0" collapsed="false">
      <c r="A106" s="12" t="s">
        <v>293</v>
      </c>
      <c r="B106" s="12" t="n">
        <v>46</v>
      </c>
      <c r="C106" s="12" t="s">
        <v>34</v>
      </c>
      <c r="D106" s="12" t="s">
        <v>69</v>
      </c>
      <c r="E106" s="12" t="s">
        <v>183</v>
      </c>
      <c r="F106" s="12" t="s">
        <v>139</v>
      </c>
      <c r="G106" s="12" t="s">
        <v>38</v>
      </c>
      <c r="H106" s="12" t="s">
        <v>39</v>
      </c>
      <c r="I106" s="12" t="n">
        <v>1</v>
      </c>
      <c r="J106" s="12" t="s">
        <v>169</v>
      </c>
      <c r="K106" s="12" t="s">
        <v>63</v>
      </c>
      <c r="L106" s="12" t="str">
        <f aca="false">IF(OR(H106="Severe",H106="Life-Threatening"),"Yes","No")</f>
        <v>No</v>
      </c>
      <c r="M106" s="12" t="str">
        <f aca="false">IF(B106&lt;18,"0-17",IF(B106&lt;40,"18-39",IF(B106&lt;60,"40-59","60+")))</f>
        <v>40-59</v>
      </c>
      <c r="N106" s="12" t="str">
        <f aca="false">IF(I106&lt;=1,"0-1 days",IF(I106&lt;=7,"2-7 days",IF(I106&lt;=30,"8-30 days","&gt;30 days")))</f>
        <v>0-1 days</v>
      </c>
    </row>
    <row r="107" customFormat="false" ht="15" hidden="false" customHeight="false" outlineLevel="0" collapsed="false">
      <c r="A107" s="12" t="s">
        <v>294</v>
      </c>
      <c r="B107" s="12" t="n">
        <v>60</v>
      </c>
      <c r="C107" s="12" t="s">
        <v>43</v>
      </c>
      <c r="D107" s="12" t="s">
        <v>168</v>
      </c>
      <c r="E107" s="12" t="s">
        <v>173</v>
      </c>
      <c r="F107" s="12" t="s">
        <v>214</v>
      </c>
      <c r="G107" s="12" t="s">
        <v>115</v>
      </c>
      <c r="H107" s="12" t="s">
        <v>39</v>
      </c>
      <c r="I107" s="12" t="n">
        <v>13</v>
      </c>
      <c r="J107" s="12" t="s">
        <v>40</v>
      </c>
      <c r="K107" s="12" t="s">
        <v>48</v>
      </c>
      <c r="L107" s="12" t="str">
        <f aca="false">IF(OR(H107="Severe",H107="Life-Threatening"),"Yes","No")</f>
        <v>No</v>
      </c>
      <c r="M107" s="12" t="str">
        <f aca="false">IF(B107&lt;18,"0-17",IF(B107&lt;40,"18-39",IF(B107&lt;60,"40-59","60+")))</f>
        <v>60+</v>
      </c>
      <c r="N107" s="12" t="str">
        <f aca="false">IF(I107&lt;=1,"0-1 days",IF(I107&lt;=7,"2-7 days",IF(I107&lt;=30,"8-30 days","&gt;30 days")))</f>
        <v>8-30 days</v>
      </c>
    </row>
    <row r="108" customFormat="false" ht="15" hidden="false" customHeight="false" outlineLevel="0" collapsed="false">
      <c r="A108" s="12" t="s">
        <v>295</v>
      </c>
      <c r="B108" s="12" t="n">
        <v>29</v>
      </c>
      <c r="C108" s="12" t="s">
        <v>34</v>
      </c>
      <c r="D108" s="12" t="s">
        <v>211</v>
      </c>
      <c r="E108" s="12" t="s">
        <v>36</v>
      </c>
      <c r="F108" s="12" t="s">
        <v>37</v>
      </c>
      <c r="G108" s="12" t="s">
        <v>38</v>
      </c>
      <c r="H108" s="12" t="s">
        <v>46</v>
      </c>
      <c r="I108" s="12" t="n">
        <v>1</v>
      </c>
      <c r="J108" s="12" t="s">
        <v>40</v>
      </c>
      <c r="K108" s="12" t="s">
        <v>48</v>
      </c>
      <c r="L108" s="12" t="str">
        <f aca="false">IF(OR(H108="Severe",H108="Life-Threatening"),"Yes","No")</f>
        <v>No</v>
      </c>
      <c r="M108" s="12" t="str">
        <f aca="false">IF(B108&lt;18,"0-17",IF(B108&lt;40,"18-39",IF(B108&lt;60,"40-59","60+")))</f>
        <v>18-39</v>
      </c>
      <c r="N108" s="12" t="str">
        <f aca="false">IF(I108&lt;=1,"0-1 days",IF(I108&lt;=7,"2-7 days",IF(I108&lt;=30,"8-30 days","&gt;30 days")))</f>
        <v>0-1 days</v>
      </c>
    </row>
    <row r="109" customFormat="false" ht="15" hidden="false" customHeight="false" outlineLevel="0" collapsed="false">
      <c r="A109" s="12" t="s">
        <v>296</v>
      </c>
      <c r="B109" s="12" t="n">
        <v>39</v>
      </c>
      <c r="C109" s="12" t="s">
        <v>34</v>
      </c>
      <c r="D109" s="12" t="s">
        <v>35</v>
      </c>
      <c r="E109" s="12" t="s">
        <v>229</v>
      </c>
      <c r="F109" s="12" t="s">
        <v>214</v>
      </c>
      <c r="G109" s="12" t="s">
        <v>115</v>
      </c>
      <c r="H109" s="12" t="s">
        <v>39</v>
      </c>
      <c r="I109" s="12" t="n">
        <v>18</v>
      </c>
      <c r="J109" s="12" t="s">
        <v>40</v>
      </c>
      <c r="K109" s="12" t="s">
        <v>63</v>
      </c>
      <c r="L109" s="12" t="str">
        <f aca="false">IF(OR(H109="Severe",H109="Life-Threatening"),"Yes","No")</f>
        <v>No</v>
      </c>
      <c r="M109" s="12" t="str">
        <f aca="false">IF(B109&lt;18,"0-17",IF(B109&lt;40,"18-39",IF(B109&lt;60,"40-59","60+")))</f>
        <v>18-39</v>
      </c>
      <c r="N109" s="12" t="str">
        <f aca="false">IF(I109&lt;=1,"0-1 days",IF(I109&lt;=7,"2-7 days",IF(I109&lt;=30,"8-30 days","&gt;30 days")))</f>
        <v>8-30 days</v>
      </c>
    </row>
    <row r="110" customFormat="false" ht="15" hidden="false" customHeight="false" outlineLevel="0" collapsed="false">
      <c r="A110" s="12" t="s">
        <v>297</v>
      </c>
      <c r="B110" s="12" t="n">
        <v>95</v>
      </c>
      <c r="C110" s="12" t="s">
        <v>43</v>
      </c>
      <c r="D110" s="12" t="s">
        <v>155</v>
      </c>
      <c r="E110" s="12" t="s">
        <v>229</v>
      </c>
      <c r="F110" s="12" t="s">
        <v>139</v>
      </c>
      <c r="G110" s="12" t="s">
        <v>38</v>
      </c>
      <c r="H110" s="12" t="s">
        <v>46</v>
      </c>
      <c r="I110" s="12" t="n">
        <v>17</v>
      </c>
      <c r="J110" s="12" t="s">
        <v>40</v>
      </c>
      <c r="K110" s="12" t="s">
        <v>63</v>
      </c>
      <c r="L110" s="12" t="str">
        <f aca="false">IF(OR(H110="Severe",H110="Life-Threatening"),"Yes","No")</f>
        <v>No</v>
      </c>
      <c r="M110" s="12" t="str">
        <f aca="false">IF(B110&lt;18,"0-17",IF(B110&lt;40,"18-39",IF(B110&lt;60,"40-59","60+")))</f>
        <v>60+</v>
      </c>
      <c r="N110" s="12" t="str">
        <f aca="false">IF(I110&lt;=1,"0-1 days",IF(I110&lt;=7,"2-7 days",IF(I110&lt;=30,"8-30 days","&gt;30 days")))</f>
        <v>8-30 days</v>
      </c>
    </row>
    <row r="111" customFormat="false" ht="15" hidden="false" customHeight="false" outlineLevel="0" collapsed="false">
      <c r="A111" s="12" t="s">
        <v>298</v>
      </c>
      <c r="B111" s="12" t="n">
        <v>55</v>
      </c>
      <c r="C111" s="12" t="s">
        <v>43</v>
      </c>
      <c r="D111" s="12" t="s">
        <v>69</v>
      </c>
      <c r="E111" s="12" t="s">
        <v>107</v>
      </c>
      <c r="F111" s="12" t="s">
        <v>62</v>
      </c>
      <c r="G111" s="12" t="s">
        <v>53</v>
      </c>
      <c r="H111" s="12" t="s">
        <v>39</v>
      </c>
      <c r="I111" s="12" t="n">
        <v>21</v>
      </c>
      <c r="J111" s="12" t="s">
        <v>47</v>
      </c>
      <c r="K111" s="12" t="s">
        <v>63</v>
      </c>
      <c r="L111" s="12" t="str">
        <f aca="false">IF(OR(H111="Severe",H111="Life-Threatening"),"Yes","No")</f>
        <v>No</v>
      </c>
      <c r="M111" s="12" t="str">
        <f aca="false">IF(B111&lt;18,"0-17",IF(B111&lt;40,"18-39",IF(B111&lt;60,"40-59","60+")))</f>
        <v>40-59</v>
      </c>
      <c r="N111" s="12" t="str">
        <f aca="false">IF(I111&lt;=1,"0-1 days",IF(I111&lt;=7,"2-7 days",IF(I111&lt;=30,"8-30 days","&gt;30 days")))</f>
        <v>8-30 days</v>
      </c>
    </row>
    <row r="112" customFormat="false" ht="15" hidden="false" customHeight="false" outlineLevel="0" collapsed="false">
      <c r="A112" s="12" t="s">
        <v>299</v>
      </c>
      <c r="B112" s="12" t="n">
        <v>35</v>
      </c>
      <c r="C112" s="12" t="s">
        <v>43</v>
      </c>
      <c r="D112" s="12" t="s">
        <v>85</v>
      </c>
      <c r="E112" s="12" t="s">
        <v>256</v>
      </c>
      <c r="F112" s="12" t="s">
        <v>165</v>
      </c>
      <c r="G112" s="12" t="s">
        <v>53</v>
      </c>
      <c r="H112" s="12" t="s">
        <v>76</v>
      </c>
      <c r="I112" s="12" t="n">
        <v>6</v>
      </c>
      <c r="J112" s="12" t="s">
        <v>169</v>
      </c>
      <c r="K112" s="12" t="s">
        <v>63</v>
      </c>
      <c r="L112" s="12" t="str">
        <f aca="false">IF(OR(H112="Severe",H112="Life-Threatening"),"Yes","No")</f>
        <v>Yes</v>
      </c>
      <c r="M112" s="12" t="str">
        <f aca="false">IF(B112&lt;18,"0-17",IF(B112&lt;40,"18-39",IF(B112&lt;60,"40-59","60+")))</f>
        <v>18-39</v>
      </c>
      <c r="N112" s="12" t="str">
        <f aca="false">IF(I112&lt;=1,"0-1 days",IF(I112&lt;=7,"2-7 days",IF(I112&lt;=30,"8-30 days","&gt;30 days")))</f>
        <v>2-7 days</v>
      </c>
    </row>
    <row r="113" customFormat="false" ht="15" hidden="false" customHeight="false" outlineLevel="0" collapsed="false">
      <c r="A113" s="12" t="s">
        <v>300</v>
      </c>
      <c r="B113" s="12" t="n">
        <v>44</v>
      </c>
      <c r="C113" s="12" t="s">
        <v>34</v>
      </c>
      <c r="D113" s="12" t="s">
        <v>85</v>
      </c>
      <c r="E113" s="12" t="s">
        <v>301</v>
      </c>
      <c r="F113" s="12" t="s">
        <v>302</v>
      </c>
      <c r="G113" s="12" t="s">
        <v>53</v>
      </c>
      <c r="H113" s="12" t="s">
        <v>39</v>
      </c>
      <c r="I113" s="12" t="n">
        <v>7</v>
      </c>
      <c r="J113" s="12" t="s">
        <v>40</v>
      </c>
      <c r="K113" s="12" t="s">
        <v>48</v>
      </c>
      <c r="L113" s="12" t="str">
        <f aca="false">IF(OR(H113="Severe",H113="Life-Threatening"),"Yes","No")</f>
        <v>No</v>
      </c>
      <c r="M113" s="12" t="str">
        <f aca="false">IF(B113&lt;18,"0-17",IF(B113&lt;40,"18-39",IF(B113&lt;60,"40-59","60+")))</f>
        <v>40-59</v>
      </c>
      <c r="N113" s="12" t="str">
        <f aca="false">IF(I113&lt;=1,"0-1 days",IF(I113&lt;=7,"2-7 days",IF(I113&lt;=30,"8-30 days","&gt;30 days")))</f>
        <v>2-7 days</v>
      </c>
    </row>
    <row r="114" customFormat="false" ht="15" hidden="false" customHeight="false" outlineLevel="0" collapsed="false">
      <c r="A114" s="12" t="s">
        <v>303</v>
      </c>
      <c r="B114" s="12" t="n">
        <v>19</v>
      </c>
      <c r="C114" s="12" t="s">
        <v>34</v>
      </c>
      <c r="D114" s="12" t="s">
        <v>245</v>
      </c>
      <c r="E114" s="12" t="s">
        <v>304</v>
      </c>
      <c r="F114" s="12" t="s">
        <v>305</v>
      </c>
      <c r="G114" s="12" t="s">
        <v>177</v>
      </c>
      <c r="H114" s="12" t="s">
        <v>76</v>
      </c>
      <c r="I114" s="12" t="n">
        <v>3</v>
      </c>
      <c r="J114" s="12" t="s">
        <v>47</v>
      </c>
      <c r="K114" s="12" t="s">
        <v>48</v>
      </c>
      <c r="L114" s="12" t="str">
        <f aca="false">IF(OR(H114="Severe",H114="Life-Threatening"),"Yes","No")</f>
        <v>Yes</v>
      </c>
      <c r="M114" s="12" t="str">
        <f aca="false">IF(B114&lt;18,"0-17",IF(B114&lt;40,"18-39",IF(B114&lt;60,"40-59","60+")))</f>
        <v>18-39</v>
      </c>
      <c r="N114" s="12" t="str">
        <f aca="false">IF(I114&lt;=1,"0-1 days",IF(I114&lt;=7,"2-7 days",IF(I114&lt;=30,"8-30 days","&gt;30 days")))</f>
        <v>2-7 days</v>
      </c>
    </row>
    <row r="115" customFormat="false" ht="15" hidden="false" customHeight="false" outlineLevel="0" collapsed="false">
      <c r="A115" s="12" t="s">
        <v>306</v>
      </c>
      <c r="B115" s="12" t="n">
        <v>72</v>
      </c>
      <c r="C115" s="12" t="s">
        <v>34</v>
      </c>
      <c r="D115" s="12" t="s">
        <v>196</v>
      </c>
      <c r="E115" s="12" t="s">
        <v>307</v>
      </c>
      <c r="F115" s="12" t="s">
        <v>249</v>
      </c>
      <c r="G115" s="12" t="s">
        <v>152</v>
      </c>
      <c r="H115" s="12" t="s">
        <v>39</v>
      </c>
      <c r="I115" s="12" t="n">
        <v>27</v>
      </c>
      <c r="J115" s="12" t="s">
        <v>47</v>
      </c>
      <c r="K115" s="12" t="s">
        <v>48</v>
      </c>
      <c r="L115" s="12" t="str">
        <f aca="false">IF(OR(H115="Severe",H115="Life-Threatening"),"Yes","No")</f>
        <v>No</v>
      </c>
      <c r="M115" s="12" t="str">
        <f aca="false">IF(B115&lt;18,"0-17",IF(B115&lt;40,"18-39",IF(B115&lt;60,"40-59","60+")))</f>
        <v>60+</v>
      </c>
      <c r="N115" s="12" t="str">
        <f aca="false">IF(I115&lt;=1,"0-1 days",IF(I115&lt;=7,"2-7 days",IF(I115&lt;=30,"8-30 days","&gt;30 days")))</f>
        <v>8-30 days</v>
      </c>
    </row>
    <row r="116" customFormat="false" ht="15" hidden="false" customHeight="false" outlineLevel="0" collapsed="false">
      <c r="A116" s="12" t="s">
        <v>308</v>
      </c>
      <c r="B116" s="12" t="n">
        <v>74</v>
      </c>
      <c r="C116" s="12" t="s">
        <v>43</v>
      </c>
      <c r="D116" s="12" t="s">
        <v>168</v>
      </c>
      <c r="E116" s="12" t="s">
        <v>243</v>
      </c>
      <c r="F116" s="12" t="s">
        <v>139</v>
      </c>
      <c r="G116" s="12" t="s">
        <v>38</v>
      </c>
      <c r="H116" s="12" t="s">
        <v>46</v>
      </c>
      <c r="I116" s="12" t="n">
        <v>19</v>
      </c>
      <c r="J116" s="12" t="s">
        <v>40</v>
      </c>
      <c r="K116" s="12" t="s">
        <v>63</v>
      </c>
      <c r="L116" s="12" t="str">
        <f aca="false">IF(OR(H116="Severe",H116="Life-Threatening"),"Yes","No")</f>
        <v>No</v>
      </c>
      <c r="M116" s="12" t="str">
        <f aca="false">IF(B116&lt;18,"0-17",IF(B116&lt;40,"18-39",IF(B116&lt;60,"40-59","60+")))</f>
        <v>60+</v>
      </c>
      <c r="N116" s="12" t="str">
        <f aca="false">IF(I116&lt;=1,"0-1 days",IF(I116&lt;=7,"2-7 days",IF(I116&lt;=30,"8-30 days","&gt;30 days")))</f>
        <v>8-30 days</v>
      </c>
    </row>
    <row r="117" customFormat="false" ht="15" hidden="false" customHeight="false" outlineLevel="0" collapsed="false">
      <c r="A117" s="12" t="s">
        <v>309</v>
      </c>
      <c r="B117" s="12" t="n">
        <v>75</v>
      </c>
      <c r="C117" s="12" t="s">
        <v>34</v>
      </c>
      <c r="D117" s="12" t="s">
        <v>69</v>
      </c>
      <c r="E117" s="12" t="s">
        <v>141</v>
      </c>
      <c r="F117" s="12" t="s">
        <v>142</v>
      </c>
      <c r="G117" s="12" t="s">
        <v>38</v>
      </c>
      <c r="H117" s="12" t="s">
        <v>39</v>
      </c>
      <c r="I117" s="12" t="n">
        <v>3</v>
      </c>
      <c r="J117" s="12" t="s">
        <v>47</v>
      </c>
      <c r="K117" s="12" t="s">
        <v>48</v>
      </c>
      <c r="L117" s="12" t="str">
        <f aca="false">IF(OR(H117="Severe",H117="Life-Threatening"),"Yes","No")</f>
        <v>No</v>
      </c>
      <c r="M117" s="12" t="str">
        <f aca="false">IF(B117&lt;18,"0-17",IF(B117&lt;40,"18-39",IF(B117&lt;60,"40-59","60+")))</f>
        <v>60+</v>
      </c>
      <c r="N117" s="12" t="str">
        <f aca="false">IF(I117&lt;=1,"0-1 days",IF(I117&lt;=7,"2-7 days",IF(I117&lt;=30,"8-30 days","&gt;30 days")))</f>
        <v>2-7 days</v>
      </c>
    </row>
    <row r="118" customFormat="false" ht="15" hidden="false" customHeight="false" outlineLevel="0" collapsed="false">
      <c r="A118" s="12" t="s">
        <v>310</v>
      </c>
      <c r="B118" s="12" t="n">
        <v>28</v>
      </c>
      <c r="C118" s="12" t="s">
        <v>34</v>
      </c>
      <c r="D118" s="12" t="s">
        <v>35</v>
      </c>
      <c r="E118" s="12" t="s">
        <v>311</v>
      </c>
      <c r="F118" s="12" t="s">
        <v>249</v>
      </c>
      <c r="G118" s="12" t="s">
        <v>152</v>
      </c>
      <c r="H118" s="12" t="s">
        <v>39</v>
      </c>
      <c r="I118" s="12" t="n">
        <v>16</v>
      </c>
      <c r="J118" s="12" t="s">
        <v>40</v>
      </c>
      <c r="K118" s="12" t="s">
        <v>48</v>
      </c>
      <c r="L118" s="12" t="str">
        <f aca="false">IF(OR(H118="Severe",H118="Life-Threatening"),"Yes","No")</f>
        <v>No</v>
      </c>
      <c r="M118" s="12" t="str">
        <f aca="false">IF(B118&lt;18,"0-17",IF(B118&lt;40,"18-39",IF(B118&lt;60,"40-59","60+")))</f>
        <v>18-39</v>
      </c>
      <c r="N118" s="12" t="str">
        <f aca="false">IF(I118&lt;=1,"0-1 days",IF(I118&lt;=7,"2-7 days",IF(I118&lt;=30,"8-30 days","&gt;30 days")))</f>
        <v>8-30 days</v>
      </c>
    </row>
    <row r="119" customFormat="false" ht="15" hidden="false" customHeight="false" outlineLevel="0" collapsed="false">
      <c r="A119" s="12" t="s">
        <v>312</v>
      </c>
      <c r="B119" s="12" t="n">
        <v>21</v>
      </c>
      <c r="C119" s="12" t="s">
        <v>43</v>
      </c>
      <c r="D119" s="12" t="s">
        <v>35</v>
      </c>
      <c r="E119" s="12" t="s">
        <v>313</v>
      </c>
      <c r="F119" s="12" t="s">
        <v>62</v>
      </c>
      <c r="G119" s="12" t="s">
        <v>53</v>
      </c>
      <c r="H119" s="12" t="s">
        <v>46</v>
      </c>
      <c r="I119" s="12" t="n">
        <v>11</v>
      </c>
      <c r="J119" s="12" t="s">
        <v>40</v>
      </c>
      <c r="K119" s="12" t="s">
        <v>48</v>
      </c>
      <c r="L119" s="12" t="str">
        <f aca="false">IF(OR(H119="Severe",H119="Life-Threatening"),"Yes","No")</f>
        <v>No</v>
      </c>
      <c r="M119" s="12" t="str">
        <f aca="false">IF(B119&lt;18,"0-17",IF(B119&lt;40,"18-39",IF(B119&lt;60,"40-59","60+")))</f>
        <v>18-39</v>
      </c>
      <c r="N119" s="12" t="str">
        <f aca="false">IF(I119&lt;=1,"0-1 days",IF(I119&lt;=7,"2-7 days",IF(I119&lt;=30,"8-30 days","&gt;30 days")))</f>
        <v>8-30 days</v>
      </c>
    </row>
    <row r="120" customFormat="false" ht="15" hidden="false" customHeight="false" outlineLevel="0" collapsed="false">
      <c r="A120" s="12" t="s">
        <v>314</v>
      </c>
      <c r="B120" s="12" t="n">
        <v>56</v>
      </c>
      <c r="C120" s="12" t="s">
        <v>43</v>
      </c>
      <c r="D120" s="12" t="s">
        <v>144</v>
      </c>
      <c r="E120" s="12" t="s">
        <v>315</v>
      </c>
      <c r="F120" s="12" t="s">
        <v>176</v>
      </c>
      <c r="G120" s="12" t="s">
        <v>177</v>
      </c>
      <c r="H120" s="12" t="s">
        <v>39</v>
      </c>
      <c r="I120" s="12" t="n">
        <v>22</v>
      </c>
      <c r="J120" s="12" t="s">
        <v>67</v>
      </c>
      <c r="K120" s="12" t="s">
        <v>63</v>
      </c>
      <c r="L120" s="12" t="str">
        <f aca="false">IF(OR(H120="Severe",H120="Life-Threatening"),"Yes","No")</f>
        <v>No</v>
      </c>
      <c r="M120" s="12" t="str">
        <f aca="false">IF(B120&lt;18,"0-17",IF(B120&lt;40,"18-39",IF(B120&lt;60,"40-59","60+")))</f>
        <v>40-59</v>
      </c>
      <c r="N120" s="12" t="str">
        <f aca="false">IF(I120&lt;=1,"0-1 days",IF(I120&lt;=7,"2-7 days",IF(I120&lt;=30,"8-30 days","&gt;30 days")))</f>
        <v>8-30 days</v>
      </c>
    </row>
    <row r="121" customFormat="false" ht="15" hidden="false" customHeight="false" outlineLevel="0" collapsed="false">
      <c r="A121" s="12" t="s">
        <v>316</v>
      </c>
      <c r="B121" s="12" t="n">
        <v>44</v>
      </c>
      <c r="C121" s="12" t="s">
        <v>43</v>
      </c>
      <c r="D121" s="12" t="s">
        <v>102</v>
      </c>
      <c r="E121" s="12" t="s">
        <v>70</v>
      </c>
      <c r="F121" s="12" t="s">
        <v>108</v>
      </c>
      <c r="G121" s="12" t="s">
        <v>38</v>
      </c>
      <c r="H121" s="12" t="s">
        <v>46</v>
      </c>
      <c r="I121" s="12" t="n">
        <v>30</v>
      </c>
      <c r="J121" s="12" t="s">
        <v>40</v>
      </c>
      <c r="K121" s="12" t="s">
        <v>48</v>
      </c>
      <c r="L121" s="12" t="str">
        <f aca="false">IF(OR(H121="Severe",H121="Life-Threatening"),"Yes","No")</f>
        <v>No</v>
      </c>
      <c r="M121" s="12" t="str">
        <f aca="false">IF(B121&lt;18,"0-17",IF(B121&lt;40,"18-39",IF(B121&lt;60,"40-59","60+")))</f>
        <v>40-59</v>
      </c>
      <c r="N121" s="12" t="str">
        <f aca="false">IF(I121&lt;=1,"0-1 days",IF(I121&lt;=7,"2-7 days",IF(I121&lt;=30,"8-30 days","&gt;30 days")))</f>
        <v>8-30 days</v>
      </c>
    </row>
    <row r="122" customFormat="false" ht="15" hidden="false" customHeight="false" outlineLevel="0" collapsed="false">
      <c r="A122" s="12" t="s">
        <v>317</v>
      </c>
      <c r="B122" s="12" t="n">
        <v>28</v>
      </c>
      <c r="C122" s="12" t="s">
        <v>43</v>
      </c>
      <c r="D122" s="12" t="s">
        <v>35</v>
      </c>
      <c r="E122" s="12" t="s">
        <v>206</v>
      </c>
      <c r="F122" s="12" t="s">
        <v>318</v>
      </c>
      <c r="G122" s="12" t="s">
        <v>80</v>
      </c>
      <c r="H122" s="12" t="s">
        <v>76</v>
      </c>
      <c r="I122" s="12" t="n">
        <v>0</v>
      </c>
      <c r="J122" s="12" t="s">
        <v>67</v>
      </c>
      <c r="K122" s="12" t="s">
        <v>63</v>
      </c>
      <c r="L122" s="12" t="str">
        <f aca="false">IF(OR(H122="Severe",H122="Life-Threatening"),"Yes","No")</f>
        <v>Yes</v>
      </c>
      <c r="M122" s="12" t="str">
        <f aca="false">IF(B122&lt;18,"0-17",IF(B122&lt;40,"18-39",IF(B122&lt;60,"40-59","60+")))</f>
        <v>18-39</v>
      </c>
      <c r="N122" s="12" t="str">
        <f aca="false">IF(I122&lt;=1,"0-1 days",IF(I122&lt;=7,"2-7 days",IF(I122&lt;=30,"8-30 days","&gt;30 days")))</f>
        <v>0-1 days</v>
      </c>
    </row>
    <row r="123" customFormat="false" ht="15" hidden="false" customHeight="false" outlineLevel="0" collapsed="false">
      <c r="A123" s="12" t="s">
        <v>319</v>
      </c>
      <c r="B123" s="12" t="n">
        <v>1</v>
      </c>
      <c r="C123" s="12" t="s">
        <v>34</v>
      </c>
      <c r="D123" s="12" t="s">
        <v>55</v>
      </c>
      <c r="E123" s="12" t="s">
        <v>241</v>
      </c>
      <c r="F123" s="12" t="s">
        <v>135</v>
      </c>
      <c r="G123" s="12" t="s">
        <v>136</v>
      </c>
      <c r="H123" s="12" t="s">
        <v>46</v>
      </c>
      <c r="I123" s="12" t="n">
        <v>12</v>
      </c>
      <c r="J123" s="12" t="s">
        <v>40</v>
      </c>
      <c r="K123" s="12" t="s">
        <v>63</v>
      </c>
      <c r="L123" s="12" t="str">
        <f aca="false">IF(OR(H123="Severe",H123="Life-Threatening"),"Yes","No")</f>
        <v>No</v>
      </c>
      <c r="M123" s="12" t="str">
        <f aca="false">IF(B123&lt;18,"0-17",IF(B123&lt;40,"18-39",IF(B123&lt;60,"40-59","60+")))</f>
        <v>0-17</v>
      </c>
      <c r="N123" s="12" t="str">
        <f aca="false">IF(I123&lt;=1,"0-1 days",IF(I123&lt;=7,"2-7 days",IF(I123&lt;=30,"8-30 days","&gt;30 days")))</f>
        <v>8-30 days</v>
      </c>
    </row>
    <row r="124" customFormat="false" ht="15" hidden="false" customHeight="false" outlineLevel="0" collapsed="false">
      <c r="A124" s="12" t="s">
        <v>320</v>
      </c>
      <c r="B124" s="12" t="n">
        <v>65</v>
      </c>
      <c r="C124" s="12" t="s">
        <v>43</v>
      </c>
      <c r="D124" s="12" t="s">
        <v>126</v>
      </c>
      <c r="E124" s="12" t="s">
        <v>321</v>
      </c>
      <c r="F124" s="12" t="s">
        <v>322</v>
      </c>
      <c r="G124" s="12" t="s">
        <v>53</v>
      </c>
      <c r="H124" s="12" t="s">
        <v>46</v>
      </c>
      <c r="I124" s="12" t="n">
        <v>29</v>
      </c>
      <c r="J124" s="12" t="s">
        <v>40</v>
      </c>
      <c r="K124" s="12" t="s">
        <v>63</v>
      </c>
      <c r="L124" s="12" t="str">
        <f aca="false">IF(OR(H124="Severe",H124="Life-Threatening"),"Yes","No")</f>
        <v>No</v>
      </c>
      <c r="M124" s="12" t="str">
        <f aca="false">IF(B124&lt;18,"0-17",IF(B124&lt;40,"18-39",IF(B124&lt;60,"40-59","60+")))</f>
        <v>60+</v>
      </c>
      <c r="N124" s="12" t="str">
        <f aca="false">IF(I124&lt;=1,"0-1 days",IF(I124&lt;=7,"2-7 days",IF(I124&lt;=30,"8-30 days","&gt;30 days")))</f>
        <v>8-30 days</v>
      </c>
    </row>
    <row r="125" customFormat="false" ht="15" hidden="false" customHeight="false" outlineLevel="0" collapsed="false">
      <c r="A125" s="12" t="s">
        <v>323</v>
      </c>
      <c r="B125" s="12" t="n">
        <v>76</v>
      </c>
      <c r="C125" s="12" t="s">
        <v>43</v>
      </c>
      <c r="D125" s="12" t="s">
        <v>85</v>
      </c>
      <c r="E125" s="12" t="s">
        <v>324</v>
      </c>
      <c r="F125" s="12" t="s">
        <v>325</v>
      </c>
      <c r="G125" s="12" t="s">
        <v>177</v>
      </c>
      <c r="H125" s="12" t="s">
        <v>76</v>
      </c>
      <c r="I125" s="12" t="n">
        <v>24</v>
      </c>
      <c r="J125" s="12" t="s">
        <v>169</v>
      </c>
      <c r="K125" s="12" t="s">
        <v>63</v>
      </c>
      <c r="L125" s="12" t="str">
        <f aca="false">IF(OR(H125="Severe",H125="Life-Threatening"),"Yes","No")</f>
        <v>Yes</v>
      </c>
      <c r="M125" s="12" t="str">
        <f aca="false">IF(B125&lt;18,"0-17",IF(B125&lt;40,"18-39",IF(B125&lt;60,"40-59","60+")))</f>
        <v>60+</v>
      </c>
      <c r="N125" s="12" t="str">
        <f aca="false">IF(I125&lt;=1,"0-1 days",IF(I125&lt;=7,"2-7 days",IF(I125&lt;=30,"8-30 days","&gt;30 days")))</f>
        <v>8-30 days</v>
      </c>
    </row>
    <row r="126" customFormat="false" ht="15" hidden="false" customHeight="false" outlineLevel="0" collapsed="false">
      <c r="A126" s="12" t="s">
        <v>326</v>
      </c>
      <c r="B126" s="12" t="n">
        <v>24</v>
      </c>
      <c r="C126" s="12" t="s">
        <v>43</v>
      </c>
      <c r="D126" s="12" t="s">
        <v>327</v>
      </c>
      <c r="E126" s="12" t="s">
        <v>229</v>
      </c>
      <c r="F126" s="12" t="s">
        <v>139</v>
      </c>
      <c r="G126" s="12" t="s">
        <v>38</v>
      </c>
      <c r="H126" s="12" t="s">
        <v>39</v>
      </c>
      <c r="I126" s="12" t="n">
        <v>8</v>
      </c>
      <c r="J126" s="12" t="s">
        <v>47</v>
      </c>
      <c r="K126" s="12" t="s">
        <v>63</v>
      </c>
      <c r="L126" s="12" t="str">
        <f aca="false">IF(OR(H126="Severe",H126="Life-Threatening"),"Yes","No")</f>
        <v>No</v>
      </c>
      <c r="M126" s="12" t="str">
        <f aca="false">IF(B126&lt;18,"0-17",IF(B126&lt;40,"18-39",IF(B126&lt;60,"40-59","60+")))</f>
        <v>18-39</v>
      </c>
      <c r="N126" s="12" t="str">
        <f aca="false">IF(I126&lt;=1,"0-1 days",IF(I126&lt;=7,"2-7 days",IF(I126&lt;=30,"8-30 days","&gt;30 days")))</f>
        <v>8-30 days</v>
      </c>
    </row>
    <row r="127" customFormat="false" ht="15" hidden="false" customHeight="false" outlineLevel="0" collapsed="false">
      <c r="A127" s="12" t="s">
        <v>328</v>
      </c>
      <c r="B127" s="12" t="n">
        <v>49</v>
      </c>
      <c r="C127" s="12" t="s">
        <v>43</v>
      </c>
      <c r="D127" s="12" t="s">
        <v>168</v>
      </c>
      <c r="E127" s="12" t="s">
        <v>56</v>
      </c>
      <c r="F127" s="12" t="s">
        <v>100</v>
      </c>
      <c r="G127" s="12" t="s">
        <v>72</v>
      </c>
      <c r="H127" s="12" t="s">
        <v>39</v>
      </c>
      <c r="I127" s="12" t="n">
        <v>17</v>
      </c>
      <c r="J127" s="12" t="s">
        <v>169</v>
      </c>
      <c r="K127" s="12" t="s">
        <v>147</v>
      </c>
      <c r="L127" s="12" t="str">
        <f aca="false">IF(OR(H127="Severe",H127="Life-Threatening"),"Yes","No")</f>
        <v>No</v>
      </c>
      <c r="M127" s="12" t="str">
        <f aca="false">IF(B127&lt;18,"0-17",IF(B127&lt;40,"18-39",IF(B127&lt;60,"40-59","60+")))</f>
        <v>40-59</v>
      </c>
      <c r="N127" s="12" t="str">
        <f aca="false">IF(I127&lt;=1,"0-1 days",IF(I127&lt;=7,"2-7 days",IF(I127&lt;=30,"8-30 days","&gt;30 days")))</f>
        <v>8-30 days</v>
      </c>
    </row>
    <row r="128" customFormat="false" ht="15" hidden="false" customHeight="false" outlineLevel="0" collapsed="false">
      <c r="A128" s="12" t="s">
        <v>329</v>
      </c>
      <c r="B128" s="12" t="n">
        <v>5</v>
      </c>
      <c r="C128" s="12" t="s">
        <v>43</v>
      </c>
      <c r="D128" s="12" t="s">
        <v>55</v>
      </c>
      <c r="E128" s="12" t="s">
        <v>36</v>
      </c>
      <c r="F128" s="12" t="s">
        <v>37</v>
      </c>
      <c r="G128" s="12" t="s">
        <v>38</v>
      </c>
      <c r="H128" s="12" t="s">
        <v>46</v>
      </c>
      <c r="I128" s="12" t="n">
        <v>22</v>
      </c>
      <c r="J128" s="12" t="s">
        <v>47</v>
      </c>
      <c r="K128" s="12" t="s">
        <v>147</v>
      </c>
      <c r="L128" s="12" t="str">
        <f aca="false">IF(OR(H128="Severe",H128="Life-Threatening"),"Yes","No")</f>
        <v>No</v>
      </c>
      <c r="M128" s="12" t="str">
        <f aca="false">IF(B128&lt;18,"0-17",IF(B128&lt;40,"18-39",IF(B128&lt;60,"40-59","60+")))</f>
        <v>0-17</v>
      </c>
      <c r="N128" s="12" t="str">
        <f aca="false">IF(I128&lt;=1,"0-1 days",IF(I128&lt;=7,"2-7 days",IF(I128&lt;=30,"8-30 days","&gt;30 days")))</f>
        <v>8-30 days</v>
      </c>
    </row>
    <row r="129" customFormat="false" ht="15" hidden="false" customHeight="false" outlineLevel="0" collapsed="false">
      <c r="A129" s="12" t="s">
        <v>330</v>
      </c>
      <c r="B129" s="12" t="n">
        <v>39</v>
      </c>
      <c r="C129" s="12" t="s">
        <v>34</v>
      </c>
      <c r="D129" s="12" t="s">
        <v>88</v>
      </c>
      <c r="E129" s="12" t="s">
        <v>183</v>
      </c>
      <c r="F129" s="12" t="s">
        <v>139</v>
      </c>
      <c r="G129" s="12" t="s">
        <v>38</v>
      </c>
      <c r="H129" s="12" t="s">
        <v>46</v>
      </c>
      <c r="I129" s="12" t="n">
        <v>12</v>
      </c>
      <c r="J129" s="12" t="s">
        <v>40</v>
      </c>
      <c r="K129" s="12" t="s">
        <v>48</v>
      </c>
      <c r="L129" s="12" t="str">
        <f aca="false">IF(OR(H129="Severe",H129="Life-Threatening"),"Yes","No")</f>
        <v>No</v>
      </c>
      <c r="M129" s="12" t="str">
        <f aca="false">IF(B129&lt;18,"0-17",IF(B129&lt;40,"18-39",IF(B129&lt;60,"40-59","60+")))</f>
        <v>18-39</v>
      </c>
      <c r="N129" s="12" t="str">
        <f aca="false">IF(I129&lt;=1,"0-1 days",IF(I129&lt;=7,"2-7 days",IF(I129&lt;=30,"8-30 days","&gt;30 days")))</f>
        <v>8-30 days</v>
      </c>
    </row>
    <row r="130" customFormat="false" ht="15" hidden="false" customHeight="false" outlineLevel="0" collapsed="false">
      <c r="A130" s="12" t="s">
        <v>331</v>
      </c>
      <c r="B130" s="12" t="n">
        <v>73</v>
      </c>
      <c r="C130" s="12" t="s">
        <v>43</v>
      </c>
      <c r="D130" s="12" t="s">
        <v>55</v>
      </c>
      <c r="E130" s="12" t="s">
        <v>332</v>
      </c>
      <c r="F130" s="12" t="s">
        <v>333</v>
      </c>
      <c r="G130" s="12" t="s">
        <v>104</v>
      </c>
      <c r="H130" s="12" t="s">
        <v>39</v>
      </c>
      <c r="I130" s="12" t="n">
        <v>5</v>
      </c>
      <c r="J130" s="12" t="s">
        <v>169</v>
      </c>
      <c r="K130" s="12" t="s">
        <v>63</v>
      </c>
      <c r="L130" s="12" t="str">
        <f aca="false">IF(OR(H130="Severe",H130="Life-Threatening"),"Yes","No")</f>
        <v>No</v>
      </c>
      <c r="M130" s="12" t="str">
        <f aca="false">IF(B130&lt;18,"0-17",IF(B130&lt;40,"18-39",IF(B130&lt;60,"40-59","60+")))</f>
        <v>60+</v>
      </c>
      <c r="N130" s="12" t="str">
        <f aca="false">IF(I130&lt;=1,"0-1 days",IF(I130&lt;=7,"2-7 days",IF(I130&lt;=30,"8-30 days","&gt;30 days")))</f>
        <v>2-7 days</v>
      </c>
    </row>
    <row r="131" customFormat="false" ht="15" hidden="false" customHeight="false" outlineLevel="0" collapsed="false">
      <c r="A131" s="12" t="s">
        <v>334</v>
      </c>
      <c r="B131" s="12" t="n">
        <v>77</v>
      </c>
      <c r="C131" s="12" t="s">
        <v>34</v>
      </c>
      <c r="D131" s="12" t="s">
        <v>155</v>
      </c>
      <c r="E131" s="12" t="s">
        <v>241</v>
      </c>
      <c r="F131" s="12" t="s">
        <v>333</v>
      </c>
      <c r="G131" s="12" t="s">
        <v>104</v>
      </c>
      <c r="H131" s="12" t="s">
        <v>76</v>
      </c>
      <c r="I131" s="12" t="n">
        <v>18</v>
      </c>
      <c r="J131" s="12" t="s">
        <v>47</v>
      </c>
      <c r="K131" s="12" t="s">
        <v>48</v>
      </c>
      <c r="L131" s="12" t="str">
        <f aca="false">IF(OR(H131="Severe",H131="Life-Threatening"),"Yes","No")</f>
        <v>Yes</v>
      </c>
      <c r="M131" s="12" t="str">
        <f aca="false">IF(B131&lt;18,"0-17",IF(B131&lt;40,"18-39",IF(B131&lt;60,"40-59","60+")))</f>
        <v>60+</v>
      </c>
      <c r="N131" s="12" t="str">
        <f aca="false">IF(I131&lt;=1,"0-1 days",IF(I131&lt;=7,"2-7 days",IF(I131&lt;=30,"8-30 days","&gt;30 days")))</f>
        <v>8-30 days</v>
      </c>
    </row>
    <row r="132" customFormat="false" ht="15" hidden="false" customHeight="false" outlineLevel="0" collapsed="false">
      <c r="A132" s="12" t="s">
        <v>335</v>
      </c>
      <c r="B132" s="12" t="n">
        <v>52</v>
      </c>
      <c r="C132" s="12" t="s">
        <v>43</v>
      </c>
      <c r="D132" s="12" t="s">
        <v>82</v>
      </c>
      <c r="E132" s="12" t="s">
        <v>204</v>
      </c>
      <c r="F132" s="12" t="s">
        <v>103</v>
      </c>
      <c r="G132" s="12" t="s">
        <v>104</v>
      </c>
      <c r="H132" s="12" t="s">
        <v>39</v>
      </c>
      <c r="I132" s="12" t="n">
        <v>40</v>
      </c>
      <c r="J132" s="12" t="s">
        <v>40</v>
      </c>
      <c r="K132" s="12" t="s">
        <v>48</v>
      </c>
      <c r="L132" s="12" t="str">
        <f aca="false">IF(OR(H132="Severe",H132="Life-Threatening"),"Yes","No")</f>
        <v>No</v>
      </c>
      <c r="M132" s="12" t="str">
        <f aca="false">IF(B132&lt;18,"0-17",IF(B132&lt;40,"18-39",IF(B132&lt;60,"40-59","60+")))</f>
        <v>40-59</v>
      </c>
      <c r="N132" s="12" t="str">
        <f aca="false">IF(I132&lt;=1,"0-1 days",IF(I132&lt;=7,"2-7 days",IF(I132&lt;=30,"8-30 days","&gt;30 days")))</f>
        <v>&gt;30 days</v>
      </c>
    </row>
    <row r="133" customFormat="false" ht="15" hidden="false" customHeight="false" outlineLevel="0" collapsed="false">
      <c r="A133" s="12" t="s">
        <v>336</v>
      </c>
      <c r="B133" s="12" t="n">
        <v>61</v>
      </c>
      <c r="C133" s="12" t="s">
        <v>34</v>
      </c>
      <c r="D133" s="12" t="s">
        <v>82</v>
      </c>
      <c r="E133" s="12" t="s">
        <v>261</v>
      </c>
      <c r="F133" s="12" t="s">
        <v>45</v>
      </c>
      <c r="G133" s="12" t="s">
        <v>38</v>
      </c>
      <c r="H133" s="12" t="s">
        <v>46</v>
      </c>
      <c r="I133" s="12" t="n">
        <v>24</v>
      </c>
      <c r="J133" s="12" t="s">
        <v>40</v>
      </c>
      <c r="K133" s="12" t="s">
        <v>63</v>
      </c>
      <c r="L133" s="12" t="str">
        <f aca="false">IF(OR(H133="Severe",H133="Life-Threatening"),"Yes","No")</f>
        <v>No</v>
      </c>
      <c r="M133" s="12" t="str">
        <f aca="false">IF(B133&lt;18,"0-17",IF(B133&lt;40,"18-39",IF(B133&lt;60,"40-59","60+")))</f>
        <v>60+</v>
      </c>
      <c r="N133" s="12" t="str">
        <f aca="false">IF(I133&lt;=1,"0-1 days",IF(I133&lt;=7,"2-7 days",IF(I133&lt;=30,"8-30 days","&gt;30 days")))</f>
        <v>8-30 days</v>
      </c>
    </row>
    <row r="134" customFormat="false" ht="15" hidden="false" customHeight="false" outlineLevel="0" collapsed="false">
      <c r="A134" s="12" t="s">
        <v>337</v>
      </c>
      <c r="B134" s="12" t="n">
        <v>53</v>
      </c>
      <c r="C134" s="12" t="s">
        <v>43</v>
      </c>
      <c r="D134" s="12" t="s">
        <v>69</v>
      </c>
      <c r="E134" s="12" t="s">
        <v>113</v>
      </c>
      <c r="F134" s="12" t="s">
        <v>62</v>
      </c>
      <c r="G134" s="12" t="s">
        <v>53</v>
      </c>
      <c r="H134" s="12" t="s">
        <v>76</v>
      </c>
      <c r="I134" s="12" t="n">
        <v>7</v>
      </c>
      <c r="J134" s="12" t="s">
        <v>169</v>
      </c>
      <c r="K134" s="12" t="s">
        <v>48</v>
      </c>
      <c r="L134" s="12" t="str">
        <f aca="false">IF(OR(H134="Severe",H134="Life-Threatening"),"Yes","No")</f>
        <v>Yes</v>
      </c>
      <c r="M134" s="12" t="str">
        <f aca="false">IF(B134&lt;18,"0-17",IF(B134&lt;40,"18-39",IF(B134&lt;60,"40-59","60+")))</f>
        <v>40-59</v>
      </c>
      <c r="N134" s="12" t="str">
        <f aca="false">IF(I134&lt;=1,"0-1 days",IF(I134&lt;=7,"2-7 days",IF(I134&lt;=30,"8-30 days","&gt;30 days")))</f>
        <v>2-7 days</v>
      </c>
    </row>
    <row r="135" customFormat="false" ht="15" hidden="false" customHeight="false" outlineLevel="0" collapsed="false">
      <c r="A135" s="12" t="s">
        <v>338</v>
      </c>
      <c r="B135" s="12" t="n">
        <v>48</v>
      </c>
      <c r="C135" s="12" t="s">
        <v>43</v>
      </c>
      <c r="D135" s="12" t="s">
        <v>194</v>
      </c>
      <c r="E135" s="12" t="s">
        <v>150</v>
      </c>
      <c r="F135" s="12" t="s">
        <v>151</v>
      </c>
      <c r="G135" s="12" t="s">
        <v>152</v>
      </c>
      <c r="H135" s="12" t="s">
        <v>76</v>
      </c>
      <c r="I135" s="12" t="n">
        <v>1</v>
      </c>
      <c r="J135" s="12" t="s">
        <v>169</v>
      </c>
      <c r="K135" s="12" t="s">
        <v>41</v>
      </c>
      <c r="L135" s="12" t="str">
        <f aca="false">IF(OR(H135="Severe",H135="Life-Threatening"),"Yes","No")</f>
        <v>Yes</v>
      </c>
      <c r="M135" s="12" t="str">
        <f aca="false">IF(B135&lt;18,"0-17",IF(B135&lt;40,"18-39",IF(B135&lt;60,"40-59","60+")))</f>
        <v>40-59</v>
      </c>
      <c r="N135" s="12" t="str">
        <f aca="false">IF(I135&lt;=1,"0-1 days",IF(I135&lt;=7,"2-7 days",IF(I135&lt;=30,"8-30 days","&gt;30 days")))</f>
        <v>0-1 days</v>
      </c>
    </row>
    <row r="136" customFormat="false" ht="15" hidden="false" customHeight="false" outlineLevel="0" collapsed="false">
      <c r="A136" s="12" t="s">
        <v>339</v>
      </c>
      <c r="B136" s="12" t="n">
        <v>53</v>
      </c>
      <c r="C136" s="12" t="s">
        <v>34</v>
      </c>
      <c r="D136" s="12" t="s">
        <v>99</v>
      </c>
      <c r="E136" s="12" t="s">
        <v>118</v>
      </c>
      <c r="F136" s="12" t="s">
        <v>45</v>
      </c>
      <c r="G136" s="12" t="s">
        <v>38</v>
      </c>
      <c r="H136" s="12" t="s">
        <v>46</v>
      </c>
      <c r="I136" s="12" t="n">
        <v>21</v>
      </c>
      <c r="J136" s="12" t="s">
        <v>40</v>
      </c>
      <c r="K136" s="12" t="s">
        <v>48</v>
      </c>
      <c r="L136" s="12" t="str">
        <f aca="false">IF(OR(H136="Severe",H136="Life-Threatening"),"Yes","No")</f>
        <v>No</v>
      </c>
      <c r="M136" s="12" t="str">
        <f aca="false">IF(B136&lt;18,"0-17",IF(B136&lt;40,"18-39",IF(B136&lt;60,"40-59","60+")))</f>
        <v>40-59</v>
      </c>
      <c r="N136" s="12" t="str">
        <f aca="false">IF(I136&lt;=1,"0-1 days",IF(I136&lt;=7,"2-7 days",IF(I136&lt;=30,"8-30 days","&gt;30 days")))</f>
        <v>8-30 days</v>
      </c>
    </row>
    <row r="137" customFormat="false" ht="15" hidden="false" customHeight="false" outlineLevel="0" collapsed="false">
      <c r="A137" s="12" t="s">
        <v>340</v>
      </c>
      <c r="B137" s="12" t="n">
        <v>1</v>
      </c>
      <c r="C137" s="12" t="s">
        <v>34</v>
      </c>
      <c r="D137" s="12" t="s">
        <v>327</v>
      </c>
      <c r="E137" s="12" t="s">
        <v>36</v>
      </c>
      <c r="F137" s="12" t="s">
        <v>37</v>
      </c>
      <c r="G137" s="12" t="s">
        <v>38</v>
      </c>
      <c r="H137" s="12" t="s">
        <v>46</v>
      </c>
      <c r="I137" s="12" t="n">
        <v>12</v>
      </c>
      <c r="J137" s="12" t="s">
        <v>40</v>
      </c>
      <c r="K137" s="12" t="s">
        <v>48</v>
      </c>
      <c r="L137" s="12" t="str">
        <f aca="false">IF(OR(H137="Severe",H137="Life-Threatening"),"Yes","No")</f>
        <v>No</v>
      </c>
      <c r="M137" s="12" t="str">
        <f aca="false">IF(B137&lt;18,"0-17",IF(B137&lt;40,"18-39",IF(B137&lt;60,"40-59","60+")))</f>
        <v>0-17</v>
      </c>
      <c r="N137" s="12" t="str">
        <f aca="false">IF(I137&lt;=1,"0-1 days",IF(I137&lt;=7,"2-7 days",IF(I137&lt;=30,"8-30 days","&gt;30 days")))</f>
        <v>8-30 days</v>
      </c>
    </row>
    <row r="138" customFormat="false" ht="15" hidden="false" customHeight="false" outlineLevel="0" collapsed="false">
      <c r="A138" s="12" t="s">
        <v>341</v>
      </c>
      <c r="B138" s="12" t="n">
        <v>20</v>
      </c>
      <c r="C138" s="12" t="s">
        <v>34</v>
      </c>
      <c r="D138" s="12" t="s">
        <v>35</v>
      </c>
      <c r="E138" s="12" t="s">
        <v>291</v>
      </c>
      <c r="F138" s="12" t="s">
        <v>139</v>
      </c>
      <c r="G138" s="12" t="s">
        <v>38</v>
      </c>
      <c r="H138" s="12" t="s">
        <v>76</v>
      </c>
      <c r="I138" s="12" t="n">
        <v>18</v>
      </c>
      <c r="J138" s="12" t="s">
        <v>40</v>
      </c>
      <c r="K138" s="12" t="s">
        <v>41</v>
      </c>
      <c r="L138" s="12" t="str">
        <f aca="false">IF(OR(H138="Severe",H138="Life-Threatening"),"Yes","No")</f>
        <v>Yes</v>
      </c>
      <c r="M138" s="12" t="str">
        <f aca="false">IF(B138&lt;18,"0-17",IF(B138&lt;40,"18-39",IF(B138&lt;60,"40-59","60+")))</f>
        <v>18-39</v>
      </c>
      <c r="N138" s="12" t="str">
        <f aca="false">IF(I138&lt;=1,"0-1 days",IF(I138&lt;=7,"2-7 days",IF(I138&lt;=30,"8-30 days","&gt;30 days")))</f>
        <v>8-30 days</v>
      </c>
    </row>
    <row r="139" customFormat="false" ht="15" hidden="false" customHeight="false" outlineLevel="0" collapsed="false">
      <c r="A139" s="12" t="s">
        <v>342</v>
      </c>
      <c r="B139" s="12" t="n">
        <v>42</v>
      </c>
      <c r="C139" s="12" t="s">
        <v>43</v>
      </c>
      <c r="D139" s="12" t="s">
        <v>163</v>
      </c>
      <c r="E139" s="12" t="s">
        <v>56</v>
      </c>
      <c r="F139" s="12" t="s">
        <v>100</v>
      </c>
      <c r="G139" s="12" t="s">
        <v>72</v>
      </c>
      <c r="H139" s="12" t="s">
        <v>46</v>
      </c>
      <c r="I139" s="12" t="n">
        <v>30</v>
      </c>
      <c r="J139" s="12" t="s">
        <v>40</v>
      </c>
      <c r="K139" s="12" t="s">
        <v>48</v>
      </c>
      <c r="L139" s="12" t="str">
        <f aca="false">IF(OR(H139="Severe",H139="Life-Threatening"),"Yes","No")</f>
        <v>No</v>
      </c>
      <c r="M139" s="12" t="str">
        <f aca="false">IF(B139&lt;18,"0-17",IF(B139&lt;40,"18-39",IF(B139&lt;60,"40-59","60+")))</f>
        <v>40-59</v>
      </c>
      <c r="N139" s="12" t="str">
        <f aca="false">IF(I139&lt;=1,"0-1 days",IF(I139&lt;=7,"2-7 days",IF(I139&lt;=30,"8-30 days","&gt;30 days")))</f>
        <v>8-30 days</v>
      </c>
    </row>
    <row r="140" customFormat="false" ht="15" hidden="false" customHeight="false" outlineLevel="0" collapsed="false">
      <c r="A140" s="12" t="s">
        <v>343</v>
      </c>
      <c r="B140" s="12" t="n">
        <v>33</v>
      </c>
      <c r="C140" s="12" t="s">
        <v>34</v>
      </c>
      <c r="D140" s="12" t="s">
        <v>55</v>
      </c>
      <c r="E140" s="12" t="s">
        <v>261</v>
      </c>
      <c r="F140" s="12" t="s">
        <v>45</v>
      </c>
      <c r="G140" s="12" t="s">
        <v>38</v>
      </c>
      <c r="H140" s="12" t="s">
        <v>46</v>
      </c>
      <c r="I140" s="12" t="n">
        <v>25</v>
      </c>
      <c r="J140" s="12" t="s">
        <v>40</v>
      </c>
      <c r="K140" s="12" t="s">
        <v>48</v>
      </c>
      <c r="L140" s="12" t="str">
        <f aca="false">IF(OR(H140="Severe",H140="Life-Threatening"),"Yes","No")</f>
        <v>No</v>
      </c>
      <c r="M140" s="12" t="str">
        <f aca="false">IF(B140&lt;18,"0-17",IF(B140&lt;40,"18-39",IF(B140&lt;60,"40-59","60+")))</f>
        <v>18-39</v>
      </c>
      <c r="N140" s="12" t="str">
        <f aca="false">IF(I140&lt;=1,"0-1 days",IF(I140&lt;=7,"2-7 days",IF(I140&lt;=30,"8-30 days","&gt;30 days")))</f>
        <v>8-30 days</v>
      </c>
    </row>
    <row r="141" customFormat="false" ht="15" hidden="false" customHeight="false" outlineLevel="0" collapsed="false">
      <c r="A141" s="12" t="s">
        <v>344</v>
      </c>
      <c r="B141" s="12" t="n">
        <v>17</v>
      </c>
      <c r="C141" s="12" t="s">
        <v>43</v>
      </c>
      <c r="D141" s="12" t="s">
        <v>190</v>
      </c>
      <c r="E141" s="12" t="s">
        <v>287</v>
      </c>
      <c r="F141" s="12" t="s">
        <v>345</v>
      </c>
      <c r="G141" s="12" t="s">
        <v>53</v>
      </c>
      <c r="H141" s="12" t="s">
        <v>76</v>
      </c>
      <c r="I141" s="12" t="n">
        <v>31</v>
      </c>
      <c r="J141" s="12" t="s">
        <v>40</v>
      </c>
      <c r="K141" s="12" t="s">
        <v>63</v>
      </c>
      <c r="L141" s="12" t="str">
        <f aca="false">IF(OR(H141="Severe",H141="Life-Threatening"),"Yes","No")</f>
        <v>Yes</v>
      </c>
      <c r="M141" s="12" t="str">
        <f aca="false">IF(B141&lt;18,"0-17",IF(B141&lt;40,"18-39",IF(B141&lt;60,"40-59","60+")))</f>
        <v>0-17</v>
      </c>
      <c r="N141" s="12" t="str">
        <f aca="false">IF(I141&lt;=1,"0-1 days",IF(I141&lt;=7,"2-7 days",IF(I141&lt;=30,"8-30 days","&gt;30 days")))</f>
        <v>&gt;30 days</v>
      </c>
    </row>
    <row r="142" customFormat="false" ht="15" hidden="false" customHeight="false" outlineLevel="0" collapsed="false">
      <c r="A142" s="12" t="s">
        <v>346</v>
      </c>
      <c r="B142" s="12" t="n">
        <v>9</v>
      </c>
      <c r="C142" s="12" t="s">
        <v>43</v>
      </c>
      <c r="D142" s="12" t="s">
        <v>35</v>
      </c>
      <c r="E142" s="12" t="s">
        <v>86</v>
      </c>
      <c r="F142" s="12" t="s">
        <v>103</v>
      </c>
      <c r="G142" s="12" t="s">
        <v>104</v>
      </c>
      <c r="H142" s="12" t="s">
        <v>76</v>
      </c>
      <c r="I142" s="12" t="n">
        <v>12</v>
      </c>
      <c r="J142" s="12" t="s">
        <v>169</v>
      </c>
      <c r="K142" s="12" t="s">
        <v>48</v>
      </c>
      <c r="L142" s="12" t="str">
        <f aca="false">IF(OR(H142="Severe",H142="Life-Threatening"),"Yes","No")</f>
        <v>Yes</v>
      </c>
      <c r="M142" s="12" t="str">
        <f aca="false">IF(B142&lt;18,"0-17",IF(B142&lt;40,"18-39",IF(B142&lt;60,"40-59","60+")))</f>
        <v>0-17</v>
      </c>
      <c r="N142" s="12" t="str">
        <f aca="false">IF(I142&lt;=1,"0-1 days",IF(I142&lt;=7,"2-7 days",IF(I142&lt;=30,"8-30 days","&gt;30 days")))</f>
        <v>8-30 days</v>
      </c>
    </row>
    <row r="143" customFormat="false" ht="15" hidden="false" customHeight="false" outlineLevel="0" collapsed="false">
      <c r="A143" s="12" t="s">
        <v>347</v>
      </c>
      <c r="B143" s="12" t="n">
        <v>37</v>
      </c>
      <c r="C143" s="12" t="s">
        <v>34</v>
      </c>
      <c r="D143" s="12" t="s">
        <v>117</v>
      </c>
      <c r="E143" s="12" t="s">
        <v>243</v>
      </c>
      <c r="F143" s="12" t="s">
        <v>348</v>
      </c>
      <c r="G143" s="12" t="s">
        <v>94</v>
      </c>
      <c r="H143" s="12" t="s">
        <v>39</v>
      </c>
      <c r="I143" s="12" t="n">
        <v>20</v>
      </c>
      <c r="J143" s="12" t="s">
        <v>40</v>
      </c>
      <c r="K143" s="12" t="s">
        <v>48</v>
      </c>
      <c r="L143" s="12" t="str">
        <f aca="false">IF(OR(H143="Severe",H143="Life-Threatening"),"Yes","No")</f>
        <v>No</v>
      </c>
      <c r="M143" s="12" t="str">
        <f aca="false">IF(B143&lt;18,"0-17",IF(B143&lt;40,"18-39",IF(B143&lt;60,"40-59","60+")))</f>
        <v>18-39</v>
      </c>
      <c r="N143" s="12" t="str">
        <f aca="false">IF(I143&lt;=1,"0-1 days",IF(I143&lt;=7,"2-7 days",IF(I143&lt;=30,"8-30 days","&gt;30 days")))</f>
        <v>8-30 days</v>
      </c>
    </row>
    <row r="144" customFormat="false" ht="15" hidden="false" customHeight="false" outlineLevel="0" collapsed="false">
      <c r="A144" s="12" t="s">
        <v>349</v>
      </c>
      <c r="B144" s="12" t="n">
        <v>22</v>
      </c>
      <c r="C144" s="12" t="s">
        <v>34</v>
      </c>
      <c r="D144" s="12" t="s">
        <v>35</v>
      </c>
      <c r="E144" s="12" t="s">
        <v>86</v>
      </c>
      <c r="F144" s="12" t="s">
        <v>103</v>
      </c>
      <c r="G144" s="12" t="s">
        <v>104</v>
      </c>
      <c r="H144" s="12" t="s">
        <v>39</v>
      </c>
      <c r="I144" s="12" t="n">
        <v>39</v>
      </c>
      <c r="J144" s="12" t="s">
        <v>47</v>
      </c>
      <c r="K144" s="12" t="s">
        <v>63</v>
      </c>
      <c r="L144" s="12" t="str">
        <f aca="false">IF(OR(H144="Severe",H144="Life-Threatening"),"Yes","No")</f>
        <v>No</v>
      </c>
      <c r="M144" s="12" t="str">
        <f aca="false">IF(B144&lt;18,"0-17",IF(B144&lt;40,"18-39",IF(B144&lt;60,"40-59","60+")))</f>
        <v>18-39</v>
      </c>
      <c r="N144" s="12" t="str">
        <f aca="false">IF(I144&lt;=1,"0-1 days",IF(I144&lt;=7,"2-7 days",IF(I144&lt;=30,"8-30 days","&gt;30 days")))</f>
        <v>&gt;30 days</v>
      </c>
    </row>
    <row r="145" customFormat="false" ht="15" hidden="false" customHeight="false" outlineLevel="0" collapsed="false">
      <c r="A145" s="12" t="s">
        <v>350</v>
      </c>
      <c r="B145" s="12" t="n">
        <v>42</v>
      </c>
      <c r="C145" s="12" t="s">
        <v>34</v>
      </c>
      <c r="D145" s="12" t="s">
        <v>55</v>
      </c>
      <c r="E145" s="12" t="s">
        <v>141</v>
      </c>
      <c r="F145" s="12" t="s">
        <v>142</v>
      </c>
      <c r="G145" s="12" t="s">
        <v>38</v>
      </c>
      <c r="H145" s="12" t="s">
        <v>39</v>
      </c>
      <c r="I145" s="12" t="n">
        <v>5</v>
      </c>
      <c r="J145" s="12" t="s">
        <v>47</v>
      </c>
      <c r="K145" s="12" t="s">
        <v>63</v>
      </c>
      <c r="L145" s="12" t="str">
        <f aca="false">IF(OR(H145="Severe",H145="Life-Threatening"),"Yes","No")</f>
        <v>No</v>
      </c>
      <c r="M145" s="12" t="str">
        <f aca="false">IF(B145&lt;18,"0-17",IF(B145&lt;40,"18-39",IF(B145&lt;60,"40-59","60+")))</f>
        <v>40-59</v>
      </c>
      <c r="N145" s="12" t="str">
        <f aca="false">IF(I145&lt;=1,"0-1 days",IF(I145&lt;=7,"2-7 days",IF(I145&lt;=30,"8-30 days","&gt;30 days")))</f>
        <v>2-7 days</v>
      </c>
    </row>
    <row r="146" customFormat="false" ht="15" hidden="false" customHeight="false" outlineLevel="0" collapsed="false">
      <c r="A146" s="12" t="s">
        <v>351</v>
      </c>
      <c r="B146" s="12" t="n">
        <v>24</v>
      </c>
      <c r="C146" s="12" t="s">
        <v>34</v>
      </c>
      <c r="D146" s="12" t="s">
        <v>196</v>
      </c>
      <c r="E146" s="12" t="s">
        <v>352</v>
      </c>
      <c r="F146" s="12" t="s">
        <v>171</v>
      </c>
      <c r="G146" s="12" t="s">
        <v>53</v>
      </c>
      <c r="H146" s="12" t="s">
        <v>39</v>
      </c>
      <c r="I146" s="12" t="n">
        <v>17</v>
      </c>
      <c r="J146" s="12" t="s">
        <v>47</v>
      </c>
      <c r="K146" s="12" t="s">
        <v>48</v>
      </c>
      <c r="L146" s="12" t="str">
        <f aca="false">IF(OR(H146="Severe",H146="Life-Threatening"),"Yes","No")</f>
        <v>No</v>
      </c>
      <c r="M146" s="12" t="str">
        <f aca="false">IF(B146&lt;18,"0-17",IF(B146&lt;40,"18-39",IF(B146&lt;60,"40-59","60+")))</f>
        <v>18-39</v>
      </c>
      <c r="N146" s="12" t="str">
        <f aca="false">IF(I146&lt;=1,"0-1 days",IF(I146&lt;=7,"2-7 days",IF(I146&lt;=30,"8-30 days","&gt;30 days")))</f>
        <v>8-30 days</v>
      </c>
    </row>
    <row r="147" customFormat="false" ht="15" hidden="false" customHeight="false" outlineLevel="0" collapsed="false">
      <c r="A147" s="12" t="s">
        <v>353</v>
      </c>
      <c r="B147" s="12" t="n">
        <v>1</v>
      </c>
      <c r="C147" s="12" t="s">
        <v>43</v>
      </c>
      <c r="D147" s="12" t="s">
        <v>155</v>
      </c>
      <c r="E147" s="12" t="s">
        <v>321</v>
      </c>
      <c r="F147" s="12" t="s">
        <v>322</v>
      </c>
      <c r="G147" s="12" t="s">
        <v>53</v>
      </c>
      <c r="H147" s="12" t="s">
        <v>46</v>
      </c>
      <c r="I147" s="12" t="n">
        <v>22</v>
      </c>
      <c r="J147" s="12" t="s">
        <v>47</v>
      </c>
      <c r="K147" s="12" t="s">
        <v>63</v>
      </c>
      <c r="L147" s="12" t="str">
        <f aca="false">IF(OR(H147="Severe",H147="Life-Threatening"),"Yes","No")</f>
        <v>No</v>
      </c>
      <c r="M147" s="12" t="str">
        <f aca="false">IF(B147&lt;18,"0-17",IF(B147&lt;40,"18-39",IF(B147&lt;60,"40-59","60+")))</f>
        <v>0-17</v>
      </c>
      <c r="N147" s="12" t="str">
        <f aca="false">IF(I147&lt;=1,"0-1 days",IF(I147&lt;=7,"2-7 days",IF(I147&lt;=30,"8-30 days","&gt;30 days")))</f>
        <v>8-30 days</v>
      </c>
    </row>
    <row r="148" customFormat="false" ht="15" hidden="false" customHeight="false" outlineLevel="0" collapsed="false">
      <c r="A148" s="12" t="s">
        <v>354</v>
      </c>
      <c r="B148" s="12" t="n">
        <v>56</v>
      </c>
      <c r="C148" s="12" t="s">
        <v>34</v>
      </c>
      <c r="D148" s="12" t="s">
        <v>327</v>
      </c>
      <c r="E148" s="12" t="s">
        <v>225</v>
      </c>
      <c r="F148" s="12" t="s">
        <v>139</v>
      </c>
      <c r="G148" s="12" t="s">
        <v>38</v>
      </c>
      <c r="H148" s="12" t="s">
        <v>39</v>
      </c>
      <c r="I148" s="12" t="n">
        <v>19</v>
      </c>
      <c r="J148" s="12" t="s">
        <v>169</v>
      </c>
      <c r="K148" s="12" t="s">
        <v>63</v>
      </c>
      <c r="L148" s="12" t="str">
        <f aca="false">IF(OR(H148="Severe",H148="Life-Threatening"),"Yes","No")</f>
        <v>No</v>
      </c>
      <c r="M148" s="12" t="str">
        <f aca="false">IF(B148&lt;18,"0-17",IF(B148&lt;40,"18-39",IF(B148&lt;60,"40-59","60+")))</f>
        <v>40-59</v>
      </c>
      <c r="N148" s="12" t="str">
        <f aca="false">IF(I148&lt;=1,"0-1 days",IF(I148&lt;=7,"2-7 days",IF(I148&lt;=30,"8-30 days","&gt;30 days")))</f>
        <v>8-30 days</v>
      </c>
    </row>
    <row r="149" customFormat="false" ht="15" hidden="false" customHeight="false" outlineLevel="0" collapsed="false">
      <c r="A149" s="12" t="s">
        <v>355</v>
      </c>
      <c r="B149" s="12" t="n">
        <v>22</v>
      </c>
      <c r="C149" s="12" t="s">
        <v>34</v>
      </c>
      <c r="D149" s="12" t="s">
        <v>55</v>
      </c>
      <c r="E149" s="12" t="s">
        <v>272</v>
      </c>
      <c r="F149" s="12" t="s">
        <v>62</v>
      </c>
      <c r="G149" s="12" t="s">
        <v>53</v>
      </c>
      <c r="H149" s="12" t="s">
        <v>46</v>
      </c>
      <c r="I149" s="12" t="n">
        <v>9</v>
      </c>
      <c r="J149" s="12" t="s">
        <v>40</v>
      </c>
      <c r="K149" s="12" t="s">
        <v>41</v>
      </c>
      <c r="L149" s="12" t="str">
        <f aca="false">IF(OR(H149="Severe",H149="Life-Threatening"),"Yes","No")</f>
        <v>No</v>
      </c>
      <c r="M149" s="12" t="str">
        <f aca="false">IF(B149&lt;18,"0-17",IF(B149&lt;40,"18-39",IF(B149&lt;60,"40-59","60+")))</f>
        <v>18-39</v>
      </c>
      <c r="N149" s="12" t="str">
        <f aca="false">IF(I149&lt;=1,"0-1 days",IF(I149&lt;=7,"2-7 days",IF(I149&lt;=30,"8-30 days","&gt;30 days")))</f>
        <v>8-30 days</v>
      </c>
    </row>
    <row r="150" customFormat="false" ht="15" hidden="false" customHeight="false" outlineLevel="0" collapsed="false">
      <c r="A150" s="12" t="s">
        <v>356</v>
      </c>
      <c r="B150" s="12" t="n">
        <v>89</v>
      </c>
      <c r="C150" s="12" t="s">
        <v>43</v>
      </c>
      <c r="D150" s="12" t="s">
        <v>55</v>
      </c>
      <c r="E150" s="12" t="s">
        <v>216</v>
      </c>
      <c r="F150" s="12" t="s">
        <v>357</v>
      </c>
      <c r="G150" s="12" t="s">
        <v>72</v>
      </c>
      <c r="H150" s="12" t="s">
        <v>59</v>
      </c>
      <c r="I150" s="12" t="n">
        <v>26</v>
      </c>
      <c r="J150" s="12" t="s">
        <v>169</v>
      </c>
      <c r="K150" s="12" t="s">
        <v>48</v>
      </c>
      <c r="L150" s="12" t="str">
        <f aca="false">IF(OR(H150="Severe",H150="Life-Threatening"),"Yes","No")</f>
        <v>Yes</v>
      </c>
      <c r="M150" s="12" t="str">
        <f aca="false">IF(B150&lt;18,"0-17",IF(B150&lt;40,"18-39",IF(B150&lt;60,"40-59","60+")))</f>
        <v>60+</v>
      </c>
      <c r="N150" s="12" t="str">
        <f aca="false">IF(I150&lt;=1,"0-1 days",IF(I150&lt;=7,"2-7 days",IF(I150&lt;=30,"8-30 days","&gt;30 days")))</f>
        <v>8-30 days</v>
      </c>
    </row>
    <row r="151" customFormat="false" ht="15" hidden="false" customHeight="false" outlineLevel="0" collapsed="false">
      <c r="A151" s="12" t="s">
        <v>358</v>
      </c>
      <c r="B151" s="12" t="n">
        <v>62</v>
      </c>
      <c r="C151" s="12" t="s">
        <v>34</v>
      </c>
      <c r="D151" s="12" t="s">
        <v>55</v>
      </c>
      <c r="E151" s="12" t="s">
        <v>301</v>
      </c>
      <c r="F151" s="12" t="s">
        <v>103</v>
      </c>
      <c r="G151" s="12" t="s">
        <v>104</v>
      </c>
      <c r="H151" s="12" t="s">
        <v>76</v>
      </c>
      <c r="I151" s="12" t="n">
        <v>33</v>
      </c>
      <c r="J151" s="12" t="s">
        <v>47</v>
      </c>
      <c r="K151" s="12" t="s">
        <v>48</v>
      </c>
      <c r="L151" s="12" t="str">
        <f aca="false">IF(OR(H151="Severe",H151="Life-Threatening"),"Yes","No")</f>
        <v>Yes</v>
      </c>
      <c r="M151" s="12" t="str">
        <f aca="false">IF(B151&lt;18,"0-17",IF(B151&lt;40,"18-39",IF(B151&lt;60,"40-59","60+")))</f>
        <v>60+</v>
      </c>
      <c r="N151" s="12" t="str">
        <f aca="false">IF(I151&lt;=1,"0-1 days",IF(I151&lt;=7,"2-7 days",IF(I151&lt;=30,"8-30 days","&gt;30 days")))</f>
        <v>&gt;30 days</v>
      </c>
    </row>
    <row r="152" customFormat="false" ht="15" hidden="false" customHeight="false" outlineLevel="0" collapsed="false">
      <c r="A152" s="12" t="s">
        <v>359</v>
      </c>
      <c r="B152" s="12" t="n">
        <v>63</v>
      </c>
      <c r="C152" s="12" t="s">
        <v>43</v>
      </c>
      <c r="D152" s="12" t="s">
        <v>35</v>
      </c>
      <c r="E152" s="12" t="s">
        <v>183</v>
      </c>
      <c r="F152" s="12" t="s">
        <v>139</v>
      </c>
      <c r="G152" s="12" t="s">
        <v>38</v>
      </c>
      <c r="H152" s="12" t="s">
        <v>39</v>
      </c>
      <c r="I152" s="12" t="n">
        <v>20</v>
      </c>
      <c r="J152" s="12" t="s">
        <v>67</v>
      </c>
      <c r="K152" s="12" t="s">
        <v>63</v>
      </c>
      <c r="L152" s="12" t="str">
        <f aca="false">IF(OR(H152="Severe",H152="Life-Threatening"),"Yes","No")</f>
        <v>No</v>
      </c>
      <c r="M152" s="12" t="str">
        <f aca="false">IF(B152&lt;18,"0-17",IF(B152&lt;40,"18-39",IF(B152&lt;60,"40-59","60+")))</f>
        <v>60+</v>
      </c>
      <c r="N152" s="12" t="str">
        <f aca="false">IF(I152&lt;=1,"0-1 days",IF(I152&lt;=7,"2-7 days",IF(I152&lt;=30,"8-30 days","&gt;30 days")))</f>
        <v>8-30 days</v>
      </c>
    </row>
    <row r="153" customFormat="false" ht="15" hidden="false" customHeight="false" outlineLevel="0" collapsed="false">
      <c r="A153" s="12" t="s">
        <v>360</v>
      </c>
      <c r="B153" s="12" t="n">
        <v>47</v>
      </c>
      <c r="C153" s="12" t="s">
        <v>43</v>
      </c>
      <c r="D153" s="12" t="s">
        <v>155</v>
      </c>
      <c r="E153" s="12" t="s">
        <v>256</v>
      </c>
      <c r="F153" s="12" t="s">
        <v>165</v>
      </c>
      <c r="G153" s="12" t="s">
        <v>53</v>
      </c>
      <c r="H153" s="12" t="s">
        <v>46</v>
      </c>
      <c r="I153" s="12" t="n">
        <v>2</v>
      </c>
      <c r="J153" s="12" t="s">
        <v>40</v>
      </c>
      <c r="K153" s="12" t="s">
        <v>63</v>
      </c>
      <c r="L153" s="12" t="str">
        <f aca="false">IF(OR(H153="Severe",H153="Life-Threatening"),"Yes","No")</f>
        <v>No</v>
      </c>
      <c r="M153" s="12" t="str">
        <f aca="false">IF(B153&lt;18,"0-17",IF(B153&lt;40,"18-39",IF(B153&lt;60,"40-59","60+")))</f>
        <v>40-59</v>
      </c>
      <c r="N153" s="12" t="str">
        <f aca="false">IF(I153&lt;=1,"0-1 days",IF(I153&lt;=7,"2-7 days",IF(I153&lt;=30,"8-30 days","&gt;30 days")))</f>
        <v>2-7 days</v>
      </c>
    </row>
    <row r="154" customFormat="false" ht="15" hidden="false" customHeight="false" outlineLevel="0" collapsed="false">
      <c r="A154" s="12" t="s">
        <v>361</v>
      </c>
      <c r="B154" s="12" t="n">
        <v>31</v>
      </c>
      <c r="C154" s="12" t="s">
        <v>43</v>
      </c>
      <c r="D154" s="12" t="s">
        <v>88</v>
      </c>
      <c r="E154" s="12" t="s">
        <v>61</v>
      </c>
      <c r="F154" s="12" t="s">
        <v>45</v>
      </c>
      <c r="G154" s="12" t="s">
        <v>38</v>
      </c>
      <c r="H154" s="12" t="s">
        <v>46</v>
      </c>
      <c r="I154" s="12" t="n">
        <v>21</v>
      </c>
      <c r="J154" s="12" t="s">
        <v>40</v>
      </c>
      <c r="K154" s="12" t="s">
        <v>41</v>
      </c>
      <c r="L154" s="12" t="str">
        <f aca="false">IF(OR(H154="Severe",H154="Life-Threatening"),"Yes","No")</f>
        <v>No</v>
      </c>
      <c r="M154" s="12" t="str">
        <f aca="false">IF(B154&lt;18,"0-17",IF(B154&lt;40,"18-39",IF(B154&lt;60,"40-59","60+")))</f>
        <v>18-39</v>
      </c>
      <c r="N154" s="12" t="str">
        <f aca="false">IF(I154&lt;=1,"0-1 days",IF(I154&lt;=7,"2-7 days",IF(I154&lt;=30,"8-30 days","&gt;30 days")))</f>
        <v>8-30 days</v>
      </c>
    </row>
    <row r="155" customFormat="false" ht="15" hidden="false" customHeight="false" outlineLevel="0" collapsed="false">
      <c r="A155" s="12" t="s">
        <v>362</v>
      </c>
      <c r="B155" s="12" t="n">
        <v>39</v>
      </c>
      <c r="C155" s="12" t="s">
        <v>34</v>
      </c>
      <c r="D155" s="12" t="s">
        <v>35</v>
      </c>
      <c r="E155" s="12" t="s">
        <v>307</v>
      </c>
      <c r="F155" s="12" t="s">
        <v>62</v>
      </c>
      <c r="G155" s="12" t="s">
        <v>53</v>
      </c>
      <c r="H155" s="12" t="s">
        <v>46</v>
      </c>
      <c r="I155" s="12" t="n">
        <v>2</v>
      </c>
      <c r="J155" s="12" t="s">
        <v>40</v>
      </c>
      <c r="K155" s="12" t="s">
        <v>48</v>
      </c>
      <c r="L155" s="12" t="str">
        <f aca="false">IF(OR(H155="Severe",H155="Life-Threatening"),"Yes","No")</f>
        <v>No</v>
      </c>
      <c r="M155" s="12" t="str">
        <f aca="false">IF(B155&lt;18,"0-17",IF(B155&lt;40,"18-39",IF(B155&lt;60,"40-59","60+")))</f>
        <v>18-39</v>
      </c>
      <c r="N155" s="12" t="str">
        <f aca="false">IF(I155&lt;=1,"0-1 days",IF(I155&lt;=7,"2-7 days",IF(I155&lt;=30,"8-30 days","&gt;30 days")))</f>
        <v>2-7 days</v>
      </c>
    </row>
    <row r="156" customFormat="false" ht="15" hidden="false" customHeight="false" outlineLevel="0" collapsed="false">
      <c r="A156" s="12" t="s">
        <v>363</v>
      </c>
      <c r="B156" s="12" t="n">
        <v>45</v>
      </c>
      <c r="C156" s="12" t="s">
        <v>43</v>
      </c>
      <c r="D156" s="12" t="s">
        <v>88</v>
      </c>
      <c r="E156" s="12" t="s">
        <v>36</v>
      </c>
      <c r="F156" s="12" t="s">
        <v>364</v>
      </c>
      <c r="G156" s="12" t="s">
        <v>38</v>
      </c>
      <c r="H156" s="12" t="s">
        <v>76</v>
      </c>
      <c r="I156" s="12" t="n">
        <v>2</v>
      </c>
      <c r="J156" s="12" t="s">
        <v>40</v>
      </c>
      <c r="K156" s="12" t="s">
        <v>63</v>
      </c>
      <c r="L156" s="12" t="str">
        <f aca="false">IF(OR(H156="Severe",H156="Life-Threatening"),"Yes","No")</f>
        <v>Yes</v>
      </c>
      <c r="M156" s="12" t="str">
        <f aca="false">IF(B156&lt;18,"0-17",IF(B156&lt;40,"18-39",IF(B156&lt;60,"40-59","60+")))</f>
        <v>40-59</v>
      </c>
      <c r="N156" s="12" t="str">
        <f aca="false">IF(I156&lt;=1,"0-1 days",IF(I156&lt;=7,"2-7 days",IF(I156&lt;=30,"8-30 days","&gt;30 days")))</f>
        <v>2-7 days</v>
      </c>
    </row>
    <row r="157" customFormat="false" ht="15" hidden="false" customHeight="false" outlineLevel="0" collapsed="false">
      <c r="A157" s="12" t="s">
        <v>365</v>
      </c>
      <c r="B157" s="12" t="n">
        <v>44</v>
      </c>
      <c r="C157" s="12" t="s">
        <v>34</v>
      </c>
      <c r="D157" s="12" t="s">
        <v>327</v>
      </c>
      <c r="E157" s="12" t="s">
        <v>156</v>
      </c>
      <c r="F157" s="12" t="s">
        <v>221</v>
      </c>
      <c r="G157" s="12" t="s">
        <v>94</v>
      </c>
      <c r="H157" s="12" t="s">
        <v>39</v>
      </c>
      <c r="I157" s="12" t="n">
        <v>1</v>
      </c>
      <c r="J157" s="12" t="s">
        <v>47</v>
      </c>
      <c r="K157" s="12" t="s">
        <v>48</v>
      </c>
      <c r="L157" s="12" t="str">
        <f aca="false">IF(OR(H157="Severe",H157="Life-Threatening"),"Yes","No")</f>
        <v>No</v>
      </c>
      <c r="M157" s="12" t="str">
        <f aca="false">IF(B157&lt;18,"0-17",IF(B157&lt;40,"18-39",IF(B157&lt;60,"40-59","60+")))</f>
        <v>40-59</v>
      </c>
      <c r="N157" s="12" t="str">
        <f aca="false">IF(I157&lt;=1,"0-1 days",IF(I157&lt;=7,"2-7 days",IF(I157&lt;=30,"8-30 days","&gt;30 days")))</f>
        <v>0-1 days</v>
      </c>
    </row>
    <row r="158" customFormat="false" ht="15" hidden="false" customHeight="false" outlineLevel="0" collapsed="false">
      <c r="A158" s="12" t="s">
        <v>366</v>
      </c>
      <c r="B158" s="12" t="n">
        <v>44</v>
      </c>
      <c r="C158" s="12" t="s">
        <v>43</v>
      </c>
      <c r="D158" s="12" t="s">
        <v>35</v>
      </c>
      <c r="E158" s="12" t="s">
        <v>56</v>
      </c>
      <c r="F158" s="12" t="s">
        <v>100</v>
      </c>
      <c r="G158" s="12" t="s">
        <v>72</v>
      </c>
      <c r="H158" s="12" t="s">
        <v>46</v>
      </c>
      <c r="I158" s="12" t="n">
        <v>26</v>
      </c>
      <c r="J158" s="12" t="s">
        <v>40</v>
      </c>
      <c r="K158" s="12" t="s">
        <v>48</v>
      </c>
      <c r="L158" s="12" t="str">
        <f aca="false">IF(OR(H158="Severe",H158="Life-Threatening"),"Yes","No")</f>
        <v>No</v>
      </c>
      <c r="M158" s="12" t="str">
        <f aca="false">IF(B158&lt;18,"0-17",IF(B158&lt;40,"18-39",IF(B158&lt;60,"40-59","60+")))</f>
        <v>40-59</v>
      </c>
      <c r="N158" s="12" t="str">
        <f aca="false">IF(I158&lt;=1,"0-1 days",IF(I158&lt;=7,"2-7 days",IF(I158&lt;=30,"8-30 days","&gt;30 days")))</f>
        <v>8-30 days</v>
      </c>
    </row>
    <row r="159" customFormat="false" ht="15" hidden="false" customHeight="false" outlineLevel="0" collapsed="false">
      <c r="A159" s="12" t="s">
        <v>367</v>
      </c>
      <c r="B159" s="12" t="n">
        <v>49</v>
      </c>
      <c r="C159" s="12" t="s">
        <v>34</v>
      </c>
      <c r="D159" s="12" t="s">
        <v>196</v>
      </c>
      <c r="E159" s="12" t="s">
        <v>74</v>
      </c>
      <c r="F159" s="12" t="s">
        <v>75</v>
      </c>
      <c r="G159" s="12" t="s">
        <v>58</v>
      </c>
      <c r="H159" s="12" t="s">
        <v>59</v>
      </c>
      <c r="I159" s="12" t="n">
        <v>0</v>
      </c>
      <c r="J159" s="12" t="s">
        <v>67</v>
      </c>
      <c r="K159" s="12" t="s">
        <v>48</v>
      </c>
      <c r="L159" s="12" t="str">
        <f aca="false">IF(OR(H159="Severe",H159="Life-Threatening"),"Yes","No")</f>
        <v>Yes</v>
      </c>
      <c r="M159" s="12" t="str">
        <f aca="false">IF(B159&lt;18,"0-17",IF(B159&lt;40,"18-39",IF(B159&lt;60,"40-59","60+")))</f>
        <v>40-59</v>
      </c>
      <c r="N159" s="12" t="str">
        <f aca="false">IF(I159&lt;=1,"0-1 days",IF(I159&lt;=7,"2-7 days",IF(I159&lt;=30,"8-30 days","&gt;30 days")))</f>
        <v>0-1 days</v>
      </c>
    </row>
    <row r="160" customFormat="false" ht="15" hidden="false" customHeight="false" outlineLevel="0" collapsed="false">
      <c r="A160" s="12" t="s">
        <v>368</v>
      </c>
      <c r="B160" s="12" t="n">
        <v>68</v>
      </c>
      <c r="C160" s="12" t="s">
        <v>43</v>
      </c>
      <c r="D160" s="12" t="s">
        <v>234</v>
      </c>
      <c r="E160" s="12" t="s">
        <v>369</v>
      </c>
      <c r="F160" s="12" t="s">
        <v>62</v>
      </c>
      <c r="G160" s="12" t="s">
        <v>53</v>
      </c>
      <c r="H160" s="12" t="s">
        <v>46</v>
      </c>
      <c r="I160" s="12" t="n">
        <v>12</v>
      </c>
      <c r="J160" s="12" t="s">
        <v>40</v>
      </c>
      <c r="K160" s="12" t="s">
        <v>41</v>
      </c>
      <c r="L160" s="12" t="str">
        <f aca="false">IF(OR(H160="Severe",H160="Life-Threatening"),"Yes","No")</f>
        <v>No</v>
      </c>
      <c r="M160" s="12" t="str">
        <f aca="false">IF(B160&lt;18,"0-17",IF(B160&lt;40,"18-39",IF(B160&lt;60,"40-59","60+")))</f>
        <v>60+</v>
      </c>
      <c r="N160" s="12" t="str">
        <f aca="false">IF(I160&lt;=1,"0-1 days",IF(I160&lt;=7,"2-7 days",IF(I160&lt;=30,"8-30 days","&gt;30 days")))</f>
        <v>8-30 days</v>
      </c>
    </row>
    <row r="161" customFormat="false" ht="15" hidden="false" customHeight="false" outlineLevel="0" collapsed="false">
      <c r="A161" s="12" t="s">
        <v>370</v>
      </c>
      <c r="B161" s="12" t="n">
        <v>61</v>
      </c>
      <c r="C161" s="12" t="s">
        <v>43</v>
      </c>
      <c r="D161" s="12" t="s">
        <v>55</v>
      </c>
      <c r="E161" s="12" t="s">
        <v>175</v>
      </c>
      <c r="F161" s="12" t="s">
        <v>371</v>
      </c>
      <c r="G161" s="12" t="s">
        <v>72</v>
      </c>
      <c r="H161" s="12" t="s">
        <v>39</v>
      </c>
      <c r="I161" s="12" t="n">
        <v>38</v>
      </c>
      <c r="J161" s="12" t="s">
        <v>40</v>
      </c>
      <c r="K161" s="12" t="s">
        <v>63</v>
      </c>
      <c r="L161" s="12" t="str">
        <f aca="false">IF(OR(H161="Severe",H161="Life-Threatening"),"Yes","No")</f>
        <v>No</v>
      </c>
      <c r="M161" s="12" t="str">
        <f aca="false">IF(B161&lt;18,"0-17",IF(B161&lt;40,"18-39",IF(B161&lt;60,"40-59","60+")))</f>
        <v>60+</v>
      </c>
      <c r="N161" s="12" t="str">
        <f aca="false">IF(I161&lt;=1,"0-1 days",IF(I161&lt;=7,"2-7 days",IF(I161&lt;=30,"8-30 days","&gt;30 days")))</f>
        <v>&gt;30 days</v>
      </c>
    </row>
    <row r="162" customFormat="false" ht="15" hidden="false" customHeight="false" outlineLevel="0" collapsed="false">
      <c r="A162" s="12" t="s">
        <v>372</v>
      </c>
      <c r="B162" s="12" t="n">
        <v>42</v>
      </c>
      <c r="C162" s="12" t="s">
        <v>34</v>
      </c>
      <c r="D162" s="12" t="s">
        <v>120</v>
      </c>
      <c r="E162" s="12" t="s">
        <v>160</v>
      </c>
      <c r="F162" s="12" t="s">
        <v>161</v>
      </c>
      <c r="G162" s="12" t="s">
        <v>53</v>
      </c>
      <c r="H162" s="12" t="s">
        <v>39</v>
      </c>
      <c r="I162" s="12" t="n">
        <v>3</v>
      </c>
      <c r="J162" s="12" t="s">
        <v>47</v>
      </c>
      <c r="K162" s="12" t="s">
        <v>63</v>
      </c>
      <c r="L162" s="12" t="str">
        <f aca="false">IF(OR(H162="Severe",H162="Life-Threatening"),"Yes","No")</f>
        <v>No</v>
      </c>
      <c r="M162" s="12" t="str">
        <f aca="false">IF(B162&lt;18,"0-17",IF(B162&lt;40,"18-39",IF(B162&lt;60,"40-59","60+")))</f>
        <v>40-59</v>
      </c>
      <c r="N162" s="12" t="str">
        <f aca="false">IF(I162&lt;=1,"0-1 days",IF(I162&lt;=7,"2-7 days",IF(I162&lt;=30,"8-30 days","&gt;30 days")))</f>
        <v>2-7 days</v>
      </c>
    </row>
    <row r="163" customFormat="false" ht="15" hidden="false" customHeight="false" outlineLevel="0" collapsed="false">
      <c r="A163" s="12" t="s">
        <v>373</v>
      </c>
      <c r="B163" s="12" t="n">
        <v>52</v>
      </c>
      <c r="C163" s="12" t="s">
        <v>43</v>
      </c>
      <c r="D163" s="12" t="s">
        <v>50</v>
      </c>
      <c r="E163" s="12" t="s">
        <v>374</v>
      </c>
      <c r="F163" s="12" t="s">
        <v>325</v>
      </c>
      <c r="G163" s="12" t="s">
        <v>177</v>
      </c>
      <c r="H163" s="12" t="s">
        <v>59</v>
      </c>
      <c r="I163" s="12" t="n">
        <v>28</v>
      </c>
      <c r="J163" s="12" t="s">
        <v>47</v>
      </c>
      <c r="K163" s="12" t="s">
        <v>48</v>
      </c>
      <c r="L163" s="12" t="str">
        <f aca="false">IF(OR(H163="Severe",H163="Life-Threatening"),"Yes","No")</f>
        <v>Yes</v>
      </c>
      <c r="M163" s="12" t="str">
        <f aca="false">IF(B163&lt;18,"0-17",IF(B163&lt;40,"18-39",IF(B163&lt;60,"40-59","60+")))</f>
        <v>40-59</v>
      </c>
      <c r="N163" s="12" t="str">
        <f aca="false">IF(I163&lt;=1,"0-1 days",IF(I163&lt;=7,"2-7 days",IF(I163&lt;=30,"8-30 days","&gt;30 days")))</f>
        <v>8-30 days</v>
      </c>
    </row>
    <row r="164" customFormat="false" ht="15" hidden="false" customHeight="false" outlineLevel="0" collapsed="false">
      <c r="A164" s="12" t="s">
        <v>375</v>
      </c>
      <c r="B164" s="12" t="n">
        <v>74</v>
      </c>
      <c r="C164" s="12" t="s">
        <v>34</v>
      </c>
      <c r="D164" s="12" t="s">
        <v>35</v>
      </c>
      <c r="E164" s="12" t="s">
        <v>376</v>
      </c>
      <c r="F164" s="12" t="s">
        <v>377</v>
      </c>
      <c r="G164" s="12" t="s">
        <v>53</v>
      </c>
      <c r="H164" s="12" t="s">
        <v>39</v>
      </c>
      <c r="I164" s="12" t="n">
        <v>27</v>
      </c>
      <c r="J164" s="12" t="s">
        <v>40</v>
      </c>
      <c r="K164" s="12" t="s">
        <v>63</v>
      </c>
      <c r="L164" s="12" t="str">
        <f aca="false">IF(OR(H164="Severe",H164="Life-Threatening"),"Yes","No")</f>
        <v>No</v>
      </c>
      <c r="M164" s="12" t="str">
        <f aca="false">IF(B164&lt;18,"0-17",IF(B164&lt;40,"18-39",IF(B164&lt;60,"40-59","60+")))</f>
        <v>60+</v>
      </c>
      <c r="N164" s="12" t="str">
        <f aca="false">IF(I164&lt;=1,"0-1 days",IF(I164&lt;=7,"2-7 days",IF(I164&lt;=30,"8-30 days","&gt;30 days")))</f>
        <v>8-30 days</v>
      </c>
    </row>
    <row r="165" customFormat="false" ht="15" hidden="false" customHeight="false" outlineLevel="0" collapsed="false">
      <c r="A165" s="12" t="s">
        <v>378</v>
      </c>
      <c r="B165" s="12" t="n">
        <v>79</v>
      </c>
      <c r="C165" s="12" t="s">
        <v>43</v>
      </c>
      <c r="D165" s="12" t="s">
        <v>194</v>
      </c>
      <c r="E165" s="12" t="s">
        <v>83</v>
      </c>
      <c r="F165" s="12" t="s">
        <v>379</v>
      </c>
      <c r="G165" s="12" t="s">
        <v>177</v>
      </c>
      <c r="H165" s="12" t="s">
        <v>76</v>
      </c>
      <c r="I165" s="12" t="n">
        <v>14</v>
      </c>
      <c r="J165" s="12" t="s">
        <v>40</v>
      </c>
      <c r="K165" s="12" t="s">
        <v>63</v>
      </c>
      <c r="L165" s="12" t="str">
        <f aca="false">IF(OR(H165="Severe",H165="Life-Threatening"),"Yes","No")</f>
        <v>Yes</v>
      </c>
      <c r="M165" s="12" t="str">
        <f aca="false">IF(B165&lt;18,"0-17",IF(B165&lt;40,"18-39",IF(B165&lt;60,"40-59","60+")))</f>
        <v>60+</v>
      </c>
      <c r="N165" s="12" t="str">
        <f aca="false">IF(I165&lt;=1,"0-1 days",IF(I165&lt;=7,"2-7 days",IF(I165&lt;=30,"8-30 days","&gt;30 days")))</f>
        <v>8-30 days</v>
      </c>
    </row>
    <row r="166" customFormat="false" ht="15" hidden="false" customHeight="false" outlineLevel="0" collapsed="false">
      <c r="A166" s="12" t="s">
        <v>380</v>
      </c>
      <c r="B166" s="12" t="n">
        <v>37</v>
      </c>
      <c r="C166" s="12" t="s">
        <v>34</v>
      </c>
      <c r="D166" s="12" t="s">
        <v>69</v>
      </c>
      <c r="E166" s="12" t="s">
        <v>332</v>
      </c>
      <c r="F166" s="12" t="s">
        <v>333</v>
      </c>
      <c r="G166" s="12" t="s">
        <v>104</v>
      </c>
      <c r="H166" s="12" t="s">
        <v>39</v>
      </c>
      <c r="I166" s="12" t="n">
        <v>26</v>
      </c>
      <c r="J166" s="12" t="s">
        <v>40</v>
      </c>
      <c r="K166" s="12" t="s">
        <v>147</v>
      </c>
      <c r="L166" s="12" t="str">
        <f aca="false">IF(OR(H166="Severe",H166="Life-Threatening"),"Yes","No")</f>
        <v>No</v>
      </c>
      <c r="M166" s="12" t="str">
        <f aca="false">IF(B166&lt;18,"0-17",IF(B166&lt;40,"18-39",IF(B166&lt;60,"40-59","60+")))</f>
        <v>18-39</v>
      </c>
      <c r="N166" s="12" t="str">
        <f aca="false">IF(I166&lt;=1,"0-1 days",IF(I166&lt;=7,"2-7 days",IF(I166&lt;=30,"8-30 days","&gt;30 days")))</f>
        <v>8-30 days</v>
      </c>
    </row>
    <row r="167" customFormat="false" ht="15" hidden="false" customHeight="false" outlineLevel="0" collapsed="false">
      <c r="A167" s="12" t="s">
        <v>381</v>
      </c>
      <c r="B167" s="12" t="n">
        <v>59</v>
      </c>
      <c r="C167" s="12" t="s">
        <v>43</v>
      </c>
      <c r="D167" s="12" t="s">
        <v>99</v>
      </c>
      <c r="E167" s="12" t="s">
        <v>307</v>
      </c>
      <c r="F167" s="12" t="s">
        <v>249</v>
      </c>
      <c r="G167" s="12" t="s">
        <v>152</v>
      </c>
      <c r="H167" s="12" t="s">
        <v>46</v>
      </c>
      <c r="I167" s="12" t="n">
        <v>18</v>
      </c>
      <c r="J167" s="12" t="s">
        <v>40</v>
      </c>
      <c r="K167" s="12" t="s">
        <v>63</v>
      </c>
      <c r="L167" s="12" t="str">
        <f aca="false">IF(OR(H167="Severe",H167="Life-Threatening"),"Yes","No")</f>
        <v>No</v>
      </c>
      <c r="M167" s="12" t="str">
        <f aca="false">IF(B167&lt;18,"0-17",IF(B167&lt;40,"18-39",IF(B167&lt;60,"40-59","60+")))</f>
        <v>40-59</v>
      </c>
      <c r="N167" s="12" t="str">
        <f aca="false">IF(I167&lt;=1,"0-1 days",IF(I167&lt;=7,"2-7 days",IF(I167&lt;=30,"8-30 days","&gt;30 days")))</f>
        <v>8-30 days</v>
      </c>
    </row>
    <row r="168" customFormat="false" ht="15" hidden="false" customHeight="false" outlineLevel="0" collapsed="false">
      <c r="A168" s="12" t="s">
        <v>382</v>
      </c>
      <c r="B168" s="12" t="n">
        <v>72</v>
      </c>
      <c r="C168" s="12" t="s">
        <v>34</v>
      </c>
      <c r="D168" s="12" t="s">
        <v>35</v>
      </c>
      <c r="E168" s="12" t="s">
        <v>383</v>
      </c>
      <c r="F168" s="12" t="s">
        <v>235</v>
      </c>
      <c r="G168" s="12" t="s">
        <v>53</v>
      </c>
      <c r="H168" s="12" t="s">
        <v>46</v>
      </c>
      <c r="I168" s="12" t="n">
        <v>19</v>
      </c>
      <c r="J168" s="12" t="s">
        <v>40</v>
      </c>
      <c r="K168" s="12" t="s">
        <v>48</v>
      </c>
      <c r="L168" s="12" t="str">
        <f aca="false">IF(OR(H168="Severe",H168="Life-Threatening"),"Yes","No")</f>
        <v>No</v>
      </c>
      <c r="M168" s="12" t="str">
        <f aca="false">IF(B168&lt;18,"0-17",IF(B168&lt;40,"18-39",IF(B168&lt;60,"40-59","60+")))</f>
        <v>60+</v>
      </c>
      <c r="N168" s="12" t="str">
        <f aca="false">IF(I168&lt;=1,"0-1 days",IF(I168&lt;=7,"2-7 days",IF(I168&lt;=30,"8-30 days","&gt;30 days")))</f>
        <v>8-30 days</v>
      </c>
    </row>
    <row r="169" customFormat="false" ht="15" hidden="false" customHeight="false" outlineLevel="0" collapsed="false">
      <c r="A169" s="12" t="s">
        <v>384</v>
      </c>
      <c r="B169" s="12" t="n">
        <v>31</v>
      </c>
      <c r="C169" s="12" t="s">
        <v>34</v>
      </c>
      <c r="D169" s="12" t="s">
        <v>88</v>
      </c>
      <c r="E169" s="12" t="s">
        <v>86</v>
      </c>
      <c r="F169" s="12" t="s">
        <v>103</v>
      </c>
      <c r="G169" s="12" t="s">
        <v>104</v>
      </c>
      <c r="H169" s="12" t="s">
        <v>59</v>
      </c>
      <c r="I169" s="12" t="n">
        <v>11</v>
      </c>
      <c r="J169" s="12" t="s">
        <v>40</v>
      </c>
      <c r="K169" s="12" t="s">
        <v>63</v>
      </c>
      <c r="L169" s="12" t="str">
        <f aca="false">IF(OR(H169="Severe",H169="Life-Threatening"),"Yes","No")</f>
        <v>Yes</v>
      </c>
      <c r="M169" s="12" t="str">
        <f aca="false">IF(B169&lt;18,"0-17",IF(B169&lt;40,"18-39",IF(B169&lt;60,"40-59","60+")))</f>
        <v>18-39</v>
      </c>
      <c r="N169" s="12" t="str">
        <f aca="false">IF(I169&lt;=1,"0-1 days",IF(I169&lt;=7,"2-7 days",IF(I169&lt;=30,"8-30 days","&gt;30 days")))</f>
        <v>8-30 days</v>
      </c>
    </row>
    <row r="170" customFormat="false" ht="15" hidden="false" customHeight="false" outlineLevel="0" collapsed="false">
      <c r="A170" s="12" t="s">
        <v>385</v>
      </c>
      <c r="B170" s="12" t="n">
        <v>54</v>
      </c>
      <c r="C170" s="12" t="s">
        <v>43</v>
      </c>
      <c r="D170" s="12" t="s">
        <v>55</v>
      </c>
      <c r="E170" s="12" t="s">
        <v>386</v>
      </c>
      <c r="F170" s="12" t="s">
        <v>114</v>
      </c>
      <c r="G170" s="12" t="s">
        <v>115</v>
      </c>
      <c r="H170" s="12" t="s">
        <v>59</v>
      </c>
      <c r="I170" s="12" t="n">
        <v>30</v>
      </c>
      <c r="J170" s="12" t="s">
        <v>40</v>
      </c>
      <c r="K170" s="12" t="s">
        <v>41</v>
      </c>
      <c r="L170" s="12" t="str">
        <f aca="false">IF(OR(H170="Severe",H170="Life-Threatening"),"Yes","No")</f>
        <v>Yes</v>
      </c>
      <c r="M170" s="12" t="str">
        <f aca="false">IF(B170&lt;18,"0-17",IF(B170&lt;40,"18-39",IF(B170&lt;60,"40-59","60+")))</f>
        <v>40-59</v>
      </c>
      <c r="N170" s="12" t="str">
        <f aca="false">IF(I170&lt;=1,"0-1 days",IF(I170&lt;=7,"2-7 days",IF(I170&lt;=30,"8-30 days","&gt;30 days")))</f>
        <v>8-30 days</v>
      </c>
    </row>
    <row r="171" customFormat="false" ht="15" hidden="false" customHeight="false" outlineLevel="0" collapsed="false">
      <c r="A171" s="12" t="s">
        <v>387</v>
      </c>
      <c r="B171" s="12" t="n">
        <v>66</v>
      </c>
      <c r="C171" s="12" t="s">
        <v>34</v>
      </c>
      <c r="D171" s="12" t="s">
        <v>55</v>
      </c>
      <c r="E171" s="12" t="s">
        <v>352</v>
      </c>
      <c r="F171" s="12" t="s">
        <v>325</v>
      </c>
      <c r="G171" s="12" t="s">
        <v>177</v>
      </c>
      <c r="H171" s="12" t="s">
        <v>76</v>
      </c>
      <c r="I171" s="12" t="n">
        <v>2</v>
      </c>
      <c r="J171" s="12" t="s">
        <v>169</v>
      </c>
      <c r="K171" s="12" t="s">
        <v>63</v>
      </c>
      <c r="L171" s="12" t="str">
        <f aca="false">IF(OR(H171="Severe",H171="Life-Threatening"),"Yes","No")</f>
        <v>Yes</v>
      </c>
      <c r="M171" s="12" t="str">
        <f aca="false">IF(B171&lt;18,"0-17",IF(B171&lt;40,"18-39",IF(B171&lt;60,"40-59","60+")))</f>
        <v>60+</v>
      </c>
      <c r="N171" s="12" t="str">
        <f aca="false">IF(I171&lt;=1,"0-1 days",IF(I171&lt;=7,"2-7 days",IF(I171&lt;=30,"8-30 days","&gt;30 days")))</f>
        <v>2-7 days</v>
      </c>
    </row>
    <row r="172" customFormat="false" ht="15" hidden="false" customHeight="false" outlineLevel="0" collapsed="false">
      <c r="A172" s="12" t="s">
        <v>388</v>
      </c>
      <c r="B172" s="12" t="n">
        <v>23</v>
      </c>
      <c r="C172" s="12" t="s">
        <v>43</v>
      </c>
      <c r="D172" s="12" t="s">
        <v>35</v>
      </c>
      <c r="E172" s="12" t="s">
        <v>65</v>
      </c>
      <c r="F172" s="12" t="s">
        <v>66</v>
      </c>
      <c r="G172" s="12" t="s">
        <v>38</v>
      </c>
      <c r="H172" s="12" t="s">
        <v>39</v>
      </c>
      <c r="I172" s="12" t="n">
        <v>8</v>
      </c>
      <c r="J172" s="12" t="s">
        <v>40</v>
      </c>
      <c r="K172" s="12" t="s">
        <v>63</v>
      </c>
      <c r="L172" s="12" t="str">
        <f aca="false">IF(OR(H172="Severe",H172="Life-Threatening"),"Yes","No")</f>
        <v>No</v>
      </c>
      <c r="M172" s="12" t="str">
        <f aca="false">IF(B172&lt;18,"0-17",IF(B172&lt;40,"18-39",IF(B172&lt;60,"40-59","60+")))</f>
        <v>18-39</v>
      </c>
      <c r="N172" s="12" t="str">
        <f aca="false">IF(I172&lt;=1,"0-1 days",IF(I172&lt;=7,"2-7 days",IF(I172&lt;=30,"8-30 days","&gt;30 days")))</f>
        <v>8-30 days</v>
      </c>
    </row>
    <row r="173" customFormat="false" ht="15" hidden="false" customHeight="false" outlineLevel="0" collapsed="false">
      <c r="A173" s="12" t="s">
        <v>389</v>
      </c>
      <c r="B173" s="12" t="n">
        <v>75</v>
      </c>
      <c r="C173" s="12" t="s">
        <v>34</v>
      </c>
      <c r="D173" s="12" t="s">
        <v>120</v>
      </c>
      <c r="E173" s="12" t="s">
        <v>78</v>
      </c>
      <c r="F173" s="12" t="s">
        <v>79</v>
      </c>
      <c r="G173" s="12" t="s">
        <v>80</v>
      </c>
      <c r="H173" s="12" t="s">
        <v>59</v>
      </c>
      <c r="I173" s="12" t="n">
        <v>6</v>
      </c>
      <c r="J173" s="12" t="s">
        <v>67</v>
      </c>
      <c r="K173" s="12" t="s">
        <v>48</v>
      </c>
      <c r="L173" s="12" t="str">
        <f aca="false">IF(OR(H173="Severe",H173="Life-Threatening"),"Yes","No")</f>
        <v>Yes</v>
      </c>
      <c r="M173" s="12" t="str">
        <f aca="false">IF(B173&lt;18,"0-17",IF(B173&lt;40,"18-39",IF(B173&lt;60,"40-59","60+")))</f>
        <v>60+</v>
      </c>
      <c r="N173" s="12" t="str">
        <f aca="false">IF(I173&lt;=1,"0-1 days",IF(I173&lt;=7,"2-7 days",IF(I173&lt;=30,"8-30 days","&gt;30 days")))</f>
        <v>2-7 days</v>
      </c>
    </row>
    <row r="174" customFormat="false" ht="15" hidden="false" customHeight="false" outlineLevel="0" collapsed="false">
      <c r="A174" s="12" t="s">
        <v>390</v>
      </c>
      <c r="B174" s="12" t="n">
        <v>81</v>
      </c>
      <c r="C174" s="12" t="s">
        <v>34</v>
      </c>
      <c r="D174" s="12" t="s">
        <v>234</v>
      </c>
      <c r="E174" s="12" t="s">
        <v>113</v>
      </c>
      <c r="F174" s="12" t="s">
        <v>62</v>
      </c>
      <c r="G174" s="12" t="s">
        <v>53</v>
      </c>
      <c r="H174" s="12" t="s">
        <v>39</v>
      </c>
      <c r="I174" s="12" t="n">
        <v>19</v>
      </c>
      <c r="J174" s="12" t="s">
        <v>169</v>
      </c>
      <c r="K174" s="12" t="s">
        <v>63</v>
      </c>
      <c r="L174" s="12" t="str">
        <f aca="false">IF(OR(H174="Severe",H174="Life-Threatening"),"Yes","No")</f>
        <v>No</v>
      </c>
      <c r="M174" s="12" t="str">
        <f aca="false">IF(B174&lt;18,"0-17",IF(B174&lt;40,"18-39",IF(B174&lt;60,"40-59","60+")))</f>
        <v>60+</v>
      </c>
      <c r="N174" s="12" t="str">
        <f aca="false">IF(I174&lt;=1,"0-1 days",IF(I174&lt;=7,"2-7 days",IF(I174&lt;=30,"8-30 days","&gt;30 days")))</f>
        <v>8-30 days</v>
      </c>
    </row>
    <row r="175" customFormat="false" ht="15" hidden="false" customHeight="false" outlineLevel="0" collapsed="false">
      <c r="A175" s="12" t="s">
        <v>391</v>
      </c>
      <c r="B175" s="12" t="n">
        <v>29</v>
      </c>
      <c r="C175" s="12" t="s">
        <v>34</v>
      </c>
      <c r="D175" s="12" t="s">
        <v>69</v>
      </c>
      <c r="E175" s="12" t="s">
        <v>253</v>
      </c>
      <c r="F175" s="12" t="s">
        <v>135</v>
      </c>
      <c r="G175" s="12" t="s">
        <v>136</v>
      </c>
      <c r="H175" s="12" t="s">
        <v>39</v>
      </c>
      <c r="I175" s="12" t="n">
        <v>2</v>
      </c>
      <c r="J175" s="12" t="s">
        <v>40</v>
      </c>
      <c r="K175" s="12" t="s">
        <v>48</v>
      </c>
      <c r="L175" s="12" t="str">
        <f aca="false">IF(OR(H175="Severe",H175="Life-Threatening"),"Yes","No")</f>
        <v>No</v>
      </c>
      <c r="M175" s="12" t="str">
        <f aca="false">IF(B175&lt;18,"0-17",IF(B175&lt;40,"18-39",IF(B175&lt;60,"40-59","60+")))</f>
        <v>18-39</v>
      </c>
      <c r="N175" s="12" t="str">
        <f aca="false">IF(I175&lt;=1,"0-1 days",IF(I175&lt;=7,"2-7 days",IF(I175&lt;=30,"8-30 days","&gt;30 days")))</f>
        <v>2-7 days</v>
      </c>
    </row>
    <row r="176" customFormat="false" ht="15" hidden="false" customHeight="false" outlineLevel="0" collapsed="false">
      <c r="A176" s="12" t="s">
        <v>392</v>
      </c>
      <c r="B176" s="12" t="n">
        <v>47</v>
      </c>
      <c r="C176" s="12" t="s">
        <v>34</v>
      </c>
      <c r="D176" s="12" t="s">
        <v>99</v>
      </c>
      <c r="E176" s="12" t="s">
        <v>89</v>
      </c>
      <c r="F176" s="12" t="s">
        <v>37</v>
      </c>
      <c r="G176" s="12" t="s">
        <v>38</v>
      </c>
      <c r="H176" s="12" t="s">
        <v>46</v>
      </c>
      <c r="I176" s="12" t="n">
        <v>21</v>
      </c>
      <c r="J176" s="12" t="s">
        <v>40</v>
      </c>
      <c r="K176" s="12" t="s">
        <v>48</v>
      </c>
      <c r="L176" s="12" t="str">
        <f aca="false">IF(OR(H176="Severe",H176="Life-Threatening"),"Yes","No")</f>
        <v>No</v>
      </c>
      <c r="M176" s="12" t="str">
        <f aca="false">IF(B176&lt;18,"0-17",IF(B176&lt;40,"18-39",IF(B176&lt;60,"40-59","60+")))</f>
        <v>40-59</v>
      </c>
      <c r="N176" s="12" t="str">
        <f aca="false">IF(I176&lt;=1,"0-1 days",IF(I176&lt;=7,"2-7 days",IF(I176&lt;=30,"8-30 days","&gt;30 days")))</f>
        <v>8-30 days</v>
      </c>
    </row>
    <row r="177" customFormat="false" ht="15" hidden="false" customHeight="false" outlineLevel="0" collapsed="false">
      <c r="A177" s="12" t="s">
        <v>393</v>
      </c>
      <c r="B177" s="12" t="n">
        <v>24</v>
      </c>
      <c r="C177" s="12" t="s">
        <v>43</v>
      </c>
      <c r="D177" s="12" t="s">
        <v>194</v>
      </c>
      <c r="E177" s="12" t="s">
        <v>36</v>
      </c>
      <c r="F177" s="12" t="s">
        <v>37</v>
      </c>
      <c r="G177" s="12" t="s">
        <v>38</v>
      </c>
      <c r="H177" s="12" t="s">
        <v>46</v>
      </c>
      <c r="I177" s="12" t="n">
        <v>7</v>
      </c>
      <c r="J177" s="12" t="s">
        <v>40</v>
      </c>
      <c r="K177" s="12" t="s">
        <v>41</v>
      </c>
      <c r="L177" s="12" t="str">
        <f aca="false">IF(OR(H177="Severe",H177="Life-Threatening"),"Yes","No")</f>
        <v>No</v>
      </c>
      <c r="M177" s="12" t="str">
        <f aca="false">IF(B177&lt;18,"0-17",IF(B177&lt;40,"18-39",IF(B177&lt;60,"40-59","60+")))</f>
        <v>18-39</v>
      </c>
      <c r="N177" s="12" t="str">
        <f aca="false">IF(I177&lt;=1,"0-1 days",IF(I177&lt;=7,"2-7 days",IF(I177&lt;=30,"8-30 days","&gt;30 days")))</f>
        <v>2-7 days</v>
      </c>
    </row>
    <row r="178" customFormat="false" ht="15" hidden="false" customHeight="false" outlineLevel="0" collapsed="false">
      <c r="A178" s="12" t="s">
        <v>394</v>
      </c>
      <c r="B178" s="12" t="n">
        <v>55</v>
      </c>
      <c r="C178" s="12" t="s">
        <v>43</v>
      </c>
      <c r="D178" s="12" t="s">
        <v>85</v>
      </c>
      <c r="E178" s="12" t="s">
        <v>134</v>
      </c>
      <c r="F178" s="12" t="s">
        <v>135</v>
      </c>
      <c r="G178" s="12" t="s">
        <v>136</v>
      </c>
      <c r="H178" s="12" t="s">
        <v>39</v>
      </c>
      <c r="I178" s="12" t="n">
        <v>20</v>
      </c>
      <c r="J178" s="12" t="s">
        <v>47</v>
      </c>
      <c r="K178" s="12" t="s">
        <v>63</v>
      </c>
      <c r="L178" s="12" t="str">
        <f aca="false">IF(OR(H178="Severe",H178="Life-Threatening"),"Yes","No")</f>
        <v>No</v>
      </c>
      <c r="M178" s="12" t="str">
        <f aca="false">IF(B178&lt;18,"0-17",IF(B178&lt;40,"18-39",IF(B178&lt;60,"40-59","60+")))</f>
        <v>40-59</v>
      </c>
      <c r="N178" s="12" t="str">
        <f aca="false">IF(I178&lt;=1,"0-1 days",IF(I178&lt;=7,"2-7 days",IF(I178&lt;=30,"8-30 days","&gt;30 days")))</f>
        <v>8-30 days</v>
      </c>
    </row>
    <row r="179" customFormat="false" ht="15" hidden="false" customHeight="false" outlineLevel="0" collapsed="false">
      <c r="A179" s="12" t="s">
        <v>395</v>
      </c>
      <c r="B179" s="12" t="n">
        <v>70</v>
      </c>
      <c r="C179" s="12" t="s">
        <v>43</v>
      </c>
      <c r="D179" s="12" t="s">
        <v>194</v>
      </c>
      <c r="E179" s="12" t="s">
        <v>307</v>
      </c>
      <c r="F179" s="12" t="s">
        <v>62</v>
      </c>
      <c r="G179" s="12" t="s">
        <v>53</v>
      </c>
      <c r="H179" s="12" t="s">
        <v>76</v>
      </c>
      <c r="I179" s="12" t="n">
        <v>12</v>
      </c>
      <c r="J179" s="12" t="s">
        <v>47</v>
      </c>
      <c r="K179" s="12" t="s">
        <v>48</v>
      </c>
      <c r="L179" s="12" t="str">
        <f aca="false">IF(OR(H179="Severe",H179="Life-Threatening"),"Yes","No")</f>
        <v>Yes</v>
      </c>
      <c r="M179" s="12" t="str">
        <f aca="false">IF(B179&lt;18,"0-17",IF(B179&lt;40,"18-39",IF(B179&lt;60,"40-59","60+")))</f>
        <v>60+</v>
      </c>
      <c r="N179" s="12" t="str">
        <f aca="false">IF(I179&lt;=1,"0-1 days",IF(I179&lt;=7,"2-7 days",IF(I179&lt;=30,"8-30 days","&gt;30 days")))</f>
        <v>8-30 days</v>
      </c>
    </row>
    <row r="180" customFormat="false" ht="15" hidden="false" customHeight="false" outlineLevel="0" collapsed="false">
      <c r="A180" s="12" t="s">
        <v>396</v>
      </c>
      <c r="B180" s="12" t="n">
        <v>54</v>
      </c>
      <c r="C180" s="12" t="s">
        <v>43</v>
      </c>
      <c r="D180" s="12" t="s">
        <v>163</v>
      </c>
      <c r="E180" s="12" t="s">
        <v>307</v>
      </c>
      <c r="F180" s="12" t="s">
        <v>249</v>
      </c>
      <c r="G180" s="12" t="s">
        <v>152</v>
      </c>
      <c r="H180" s="12" t="s">
        <v>39</v>
      </c>
      <c r="I180" s="12" t="n">
        <v>19</v>
      </c>
      <c r="J180" s="12" t="s">
        <v>40</v>
      </c>
      <c r="K180" s="12" t="s">
        <v>63</v>
      </c>
      <c r="L180" s="12" t="str">
        <f aca="false">IF(OR(H180="Severe",H180="Life-Threatening"),"Yes","No")</f>
        <v>No</v>
      </c>
      <c r="M180" s="12" t="str">
        <f aca="false">IF(B180&lt;18,"0-17",IF(B180&lt;40,"18-39",IF(B180&lt;60,"40-59","60+")))</f>
        <v>40-59</v>
      </c>
      <c r="N180" s="12" t="str">
        <f aca="false">IF(I180&lt;=1,"0-1 days",IF(I180&lt;=7,"2-7 days",IF(I180&lt;=30,"8-30 days","&gt;30 days")))</f>
        <v>8-30 days</v>
      </c>
    </row>
    <row r="181" customFormat="false" ht="15" hidden="false" customHeight="false" outlineLevel="0" collapsed="false">
      <c r="A181" s="12" t="s">
        <v>397</v>
      </c>
      <c r="B181" s="12" t="n">
        <v>34</v>
      </c>
      <c r="C181" s="12" t="s">
        <v>34</v>
      </c>
      <c r="D181" s="12" t="s">
        <v>155</v>
      </c>
      <c r="E181" s="12" t="s">
        <v>398</v>
      </c>
      <c r="F181" s="12" t="s">
        <v>364</v>
      </c>
      <c r="G181" s="12" t="s">
        <v>38</v>
      </c>
      <c r="H181" s="12" t="s">
        <v>59</v>
      </c>
      <c r="I181" s="12" t="n">
        <v>12</v>
      </c>
      <c r="J181" s="12" t="s">
        <v>105</v>
      </c>
      <c r="K181" s="12" t="s">
        <v>48</v>
      </c>
      <c r="L181" s="12" t="str">
        <f aca="false">IF(OR(H181="Severe",H181="Life-Threatening"),"Yes","No")</f>
        <v>Yes</v>
      </c>
      <c r="M181" s="12" t="str">
        <f aca="false">IF(B181&lt;18,"0-17",IF(B181&lt;40,"18-39",IF(B181&lt;60,"40-59","60+")))</f>
        <v>18-39</v>
      </c>
      <c r="N181" s="12" t="str">
        <f aca="false">IF(I181&lt;=1,"0-1 days",IF(I181&lt;=7,"2-7 days",IF(I181&lt;=30,"8-30 days","&gt;30 days")))</f>
        <v>8-30 days</v>
      </c>
    </row>
    <row r="182" customFormat="false" ht="15" hidden="false" customHeight="false" outlineLevel="0" collapsed="false">
      <c r="A182" s="12" t="s">
        <v>399</v>
      </c>
      <c r="B182" s="12" t="n">
        <v>56</v>
      </c>
      <c r="C182" s="12" t="s">
        <v>34</v>
      </c>
      <c r="D182" s="12" t="s">
        <v>55</v>
      </c>
      <c r="E182" s="12" t="s">
        <v>89</v>
      </c>
      <c r="F182" s="12" t="s">
        <v>37</v>
      </c>
      <c r="G182" s="12" t="s">
        <v>38</v>
      </c>
      <c r="H182" s="12" t="s">
        <v>46</v>
      </c>
      <c r="I182" s="12" t="n">
        <v>10</v>
      </c>
      <c r="J182" s="12" t="s">
        <v>40</v>
      </c>
      <c r="K182" s="12" t="s">
        <v>147</v>
      </c>
      <c r="L182" s="12" t="str">
        <f aca="false">IF(OR(H182="Severe",H182="Life-Threatening"),"Yes","No")</f>
        <v>No</v>
      </c>
      <c r="M182" s="12" t="str">
        <f aca="false">IF(B182&lt;18,"0-17",IF(B182&lt;40,"18-39",IF(B182&lt;60,"40-59","60+")))</f>
        <v>40-59</v>
      </c>
      <c r="N182" s="12" t="str">
        <f aca="false">IF(I182&lt;=1,"0-1 days",IF(I182&lt;=7,"2-7 days",IF(I182&lt;=30,"8-30 days","&gt;30 days")))</f>
        <v>8-30 days</v>
      </c>
    </row>
    <row r="183" customFormat="false" ht="15" hidden="false" customHeight="false" outlineLevel="0" collapsed="false">
      <c r="A183" s="12" t="s">
        <v>400</v>
      </c>
      <c r="B183" s="12" t="n">
        <v>64</v>
      </c>
      <c r="C183" s="12" t="s">
        <v>43</v>
      </c>
      <c r="D183" s="12" t="s">
        <v>99</v>
      </c>
      <c r="E183" s="12" t="s">
        <v>164</v>
      </c>
      <c r="F183" s="12" t="s">
        <v>305</v>
      </c>
      <c r="G183" s="12" t="s">
        <v>177</v>
      </c>
      <c r="H183" s="12" t="s">
        <v>39</v>
      </c>
      <c r="I183" s="12" t="n">
        <v>18</v>
      </c>
      <c r="J183" s="12" t="s">
        <v>47</v>
      </c>
      <c r="K183" s="12" t="s">
        <v>48</v>
      </c>
      <c r="L183" s="12" t="str">
        <f aca="false">IF(OR(H183="Severe",H183="Life-Threatening"),"Yes","No")</f>
        <v>No</v>
      </c>
      <c r="M183" s="12" t="str">
        <f aca="false">IF(B183&lt;18,"0-17",IF(B183&lt;40,"18-39",IF(B183&lt;60,"40-59","60+")))</f>
        <v>60+</v>
      </c>
      <c r="N183" s="12" t="str">
        <f aca="false">IF(I183&lt;=1,"0-1 days",IF(I183&lt;=7,"2-7 days",IF(I183&lt;=30,"8-30 days","&gt;30 days")))</f>
        <v>8-30 days</v>
      </c>
    </row>
    <row r="184" customFormat="false" ht="15" hidden="false" customHeight="false" outlineLevel="0" collapsed="false">
      <c r="A184" s="12" t="s">
        <v>401</v>
      </c>
      <c r="B184" s="12" t="n">
        <v>45</v>
      </c>
      <c r="C184" s="12" t="s">
        <v>43</v>
      </c>
      <c r="D184" s="12" t="s">
        <v>55</v>
      </c>
      <c r="E184" s="12" t="s">
        <v>186</v>
      </c>
      <c r="F184" s="12" t="s">
        <v>131</v>
      </c>
      <c r="G184" s="12" t="s">
        <v>94</v>
      </c>
      <c r="H184" s="12" t="s">
        <v>39</v>
      </c>
      <c r="I184" s="12" t="n">
        <v>16</v>
      </c>
      <c r="J184" s="12" t="s">
        <v>40</v>
      </c>
      <c r="K184" s="12" t="s">
        <v>63</v>
      </c>
      <c r="L184" s="12" t="str">
        <f aca="false">IF(OR(H184="Severe",H184="Life-Threatening"),"Yes","No")</f>
        <v>No</v>
      </c>
      <c r="M184" s="12" t="str">
        <f aca="false">IF(B184&lt;18,"0-17",IF(B184&lt;40,"18-39",IF(B184&lt;60,"40-59","60+")))</f>
        <v>40-59</v>
      </c>
      <c r="N184" s="12" t="str">
        <f aca="false">IF(I184&lt;=1,"0-1 days",IF(I184&lt;=7,"2-7 days",IF(I184&lt;=30,"8-30 days","&gt;30 days")))</f>
        <v>8-30 days</v>
      </c>
    </row>
    <row r="185" customFormat="false" ht="15" hidden="false" customHeight="false" outlineLevel="0" collapsed="false">
      <c r="A185" s="12" t="s">
        <v>402</v>
      </c>
      <c r="B185" s="12" t="n">
        <v>68</v>
      </c>
      <c r="C185" s="12" t="s">
        <v>34</v>
      </c>
      <c r="D185" s="12" t="s">
        <v>69</v>
      </c>
      <c r="E185" s="12" t="s">
        <v>188</v>
      </c>
      <c r="F185" s="12" t="s">
        <v>403</v>
      </c>
      <c r="G185" s="12" t="s">
        <v>80</v>
      </c>
      <c r="H185" s="12" t="s">
        <v>39</v>
      </c>
      <c r="I185" s="12" t="n">
        <v>2</v>
      </c>
      <c r="J185" s="12" t="s">
        <v>40</v>
      </c>
      <c r="K185" s="12" t="s">
        <v>63</v>
      </c>
      <c r="L185" s="12" t="str">
        <f aca="false">IF(OR(H185="Severe",H185="Life-Threatening"),"Yes","No")</f>
        <v>No</v>
      </c>
      <c r="M185" s="12" t="str">
        <f aca="false">IF(B185&lt;18,"0-17",IF(B185&lt;40,"18-39",IF(B185&lt;60,"40-59","60+")))</f>
        <v>60+</v>
      </c>
      <c r="N185" s="12" t="str">
        <f aca="false">IF(I185&lt;=1,"0-1 days",IF(I185&lt;=7,"2-7 days",IF(I185&lt;=30,"8-30 days","&gt;30 days")))</f>
        <v>2-7 days</v>
      </c>
    </row>
    <row r="186" customFormat="false" ht="15" hidden="false" customHeight="false" outlineLevel="0" collapsed="false">
      <c r="A186" s="12" t="s">
        <v>404</v>
      </c>
      <c r="B186" s="12" t="n">
        <v>40</v>
      </c>
      <c r="C186" s="12" t="s">
        <v>34</v>
      </c>
      <c r="D186" s="12" t="s">
        <v>144</v>
      </c>
      <c r="E186" s="12" t="s">
        <v>118</v>
      </c>
      <c r="F186" s="12" t="s">
        <v>192</v>
      </c>
      <c r="G186" s="12" t="s">
        <v>53</v>
      </c>
      <c r="H186" s="12" t="s">
        <v>76</v>
      </c>
      <c r="I186" s="12" t="n">
        <v>4</v>
      </c>
      <c r="J186" s="12" t="s">
        <v>47</v>
      </c>
      <c r="K186" s="12" t="s">
        <v>48</v>
      </c>
      <c r="L186" s="12" t="str">
        <f aca="false">IF(OR(H186="Severe",H186="Life-Threatening"),"Yes","No")</f>
        <v>Yes</v>
      </c>
      <c r="M186" s="12" t="str">
        <f aca="false">IF(B186&lt;18,"0-17",IF(B186&lt;40,"18-39",IF(B186&lt;60,"40-59","60+")))</f>
        <v>40-59</v>
      </c>
      <c r="N186" s="12" t="str">
        <f aca="false">IF(I186&lt;=1,"0-1 days",IF(I186&lt;=7,"2-7 days",IF(I186&lt;=30,"8-30 days","&gt;30 days")))</f>
        <v>2-7 days</v>
      </c>
    </row>
    <row r="187" customFormat="false" ht="15" hidden="false" customHeight="false" outlineLevel="0" collapsed="false">
      <c r="A187" s="12" t="s">
        <v>405</v>
      </c>
      <c r="B187" s="12" t="n">
        <v>26</v>
      </c>
      <c r="C187" s="12" t="s">
        <v>43</v>
      </c>
      <c r="D187" s="12" t="s">
        <v>163</v>
      </c>
      <c r="E187" s="12" t="s">
        <v>243</v>
      </c>
      <c r="F187" s="12" t="s">
        <v>348</v>
      </c>
      <c r="G187" s="12" t="s">
        <v>94</v>
      </c>
      <c r="H187" s="12" t="s">
        <v>76</v>
      </c>
      <c r="I187" s="12" t="n">
        <v>17</v>
      </c>
      <c r="J187" s="12" t="s">
        <v>40</v>
      </c>
      <c r="K187" s="12" t="s">
        <v>63</v>
      </c>
      <c r="L187" s="12" t="str">
        <f aca="false">IF(OR(H187="Severe",H187="Life-Threatening"),"Yes","No")</f>
        <v>Yes</v>
      </c>
      <c r="M187" s="12" t="str">
        <f aca="false">IF(B187&lt;18,"0-17",IF(B187&lt;40,"18-39",IF(B187&lt;60,"40-59","60+")))</f>
        <v>18-39</v>
      </c>
      <c r="N187" s="12" t="str">
        <f aca="false">IF(I187&lt;=1,"0-1 days",IF(I187&lt;=7,"2-7 days",IF(I187&lt;=30,"8-30 days","&gt;30 days")))</f>
        <v>8-30 days</v>
      </c>
    </row>
    <row r="188" customFormat="false" ht="15" hidden="false" customHeight="false" outlineLevel="0" collapsed="false">
      <c r="A188" s="12" t="s">
        <v>406</v>
      </c>
      <c r="B188" s="12" t="n">
        <v>38</v>
      </c>
      <c r="C188" s="12" t="s">
        <v>34</v>
      </c>
      <c r="D188" s="12" t="s">
        <v>234</v>
      </c>
      <c r="E188" s="12" t="s">
        <v>407</v>
      </c>
      <c r="F188" s="12" t="s">
        <v>176</v>
      </c>
      <c r="G188" s="12" t="s">
        <v>177</v>
      </c>
      <c r="H188" s="12" t="s">
        <v>39</v>
      </c>
      <c r="I188" s="12" t="n">
        <v>23</v>
      </c>
      <c r="J188" s="12" t="s">
        <v>40</v>
      </c>
      <c r="K188" s="12" t="s">
        <v>63</v>
      </c>
      <c r="L188" s="12" t="str">
        <f aca="false">IF(OR(H188="Severe",H188="Life-Threatening"),"Yes","No")</f>
        <v>No</v>
      </c>
      <c r="M188" s="12" t="str">
        <f aca="false">IF(B188&lt;18,"0-17",IF(B188&lt;40,"18-39",IF(B188&lt;60,"40-59","60+")))</f>
        <v>18-39</v>
      </c>
      <c r="N188" s="12" t="str">
        <f aca="false">IF(I188&lt;=1,"0-1 days",IF(I188&lt;=7,"2-7 days",IF(I188&lt;=30,"8-30 days","&gt;30 days")))</f>
        <v>8-30 days</v>
      </c>
    </row>
    <row r="189" customFormat="false" ht="15" hidden="false" customHeight="false" outlineLevel="0" collapsed="false">
      <c r="A189" s="12" t="s">
        <v>408</v>
      </c>
      <c r="B189" s="12" t="n">
        <v>42</v>
      </c>
      <c r="C189" s="12" t="s">
        <v>43</v>
      </c>
      <c r="D189" s="12" t="s">
        <v>117</v>
      </c>
      <c r="E189" s="12" t="s">
        <v>261</v>
      </c>
      <c r="F189" s="12" t="s">
        <v>221</v>
      </c>
      <c r="G189" s="12" t="s">
        <v>94</v>
      </c>
      <c r="H189" s="12" t="s">
        <v>76</v>
      </c>
      <c r="I189" s="12" t="n">
        <v>1</v>
      </c>
      <c r="J189" s="12" t="s">
        <v>47</v>
      </c>
      <c r="K189" s="12" t="s">
        <v>48</v>
      </c>
      <c r="L189" s="12" t="str">
        <f aca="false">IF(OR(H189="Severe",H189="Life-Threatening"),"Yes","No")</f>
        <v>Yes</v>
      </c>
      <c r="M189" s="12" t="str">
        <f aca="false">IF(B189&lt;18,"0-17",IF(B189&lt;40,"18-39",IF(B189&lt;60,"40-59","60+")))</f>
        <v>40-59</v>
      </c>
      <c r="N189" s="12" t="str">
        <f aca="false">IF(I189&lt;=1,"0-1 days",IF(I189&lt;=7,"2-7 days",IF(I189&lt;=30,"8-30 days","&gt;30 days")))</f>
        <v>0-1 days</v>
      </c>
    </row>
    <row r="190" customFormat="false" ht="15" hidden="false" customHeight="false" outlineLevel="0" collapsed="false">
      <c r="A190" s="12" t="s">
        <v>409</v>
      </c>
      <c r="B190" s="12" t="n">
        <v>11</v>
      </c>
      <c r="C190" s="12" t="s">
        <v>43</v>
      </c>
      <c r="D190" s="12" t="s">
        <v>35</v>
      </c>
      <c r="E190" s="12" t="s">
        <v>74</v>
      </c>
      <c r="F190" s="12" t="s">
        <v>139</v>
      </c>
      <c r="G190" s="12" t="s">
        <v>38</v>
      </c>
      <c r="H190" s="12" t="s">
        <v>39</v>
      </c>
      <c r="I190" s="12" t="n">
        <v>19</v>
      </c>
      <c r="J190" s="12" t="s">
        <v>40</v>
      </c>
      <c r="K190" s="12" t="s">
        <v>48</v>
      </c>
      <c r="L190" s="12" t="str">
        <f aca="false">IF(OR(H190="Severe",H190="Life-Threatening"),"Yes","No")</f>
        <v>No</v>
      </c>
      <c r="M190" s="12" t="str">
        <f aca="false">IF(B190&lt;18,"0-17",IF(B190&lt;40,"18-39",IF(B190&lt;60,"40-59","60+")))</f>
        <v>0-17</v>
      </c>
      <c r="N190" s="12" t="str">
        <f aca="false">IF(I190&lt;=1,"0-1 days",IF(I190&lt;=7,"2-7 days",IF(I190&lt;=30,"8-30 days","&gt;30 days")))</f>
        <v>8-30 days</v>
      </c>
    </row>
    <row r="191" customFormat="false" ht="15" hidden="false" customHeight="false" outlineLevel="0" collapsed="false">
      <c r="A191" s="12" t="s">
        <v>410</v>
      </c>
      <c r="B191" s="12" t="n">
        <v>41</v>
      </c>
      <c r="C191" s="12" t="s">
        <v>43</v>
      </c>
      <c r="D191" s="12" t="s">
        <v>168</v>
      </c>
      <c r="E191" s="12" t="s">
        <v>268</v>
      </c>
      <c r="F191" s="12" t="s">
        <v>364</v>
      </c>
      <c r="G191" s="12" t="s">
        <v>38</v>
      </c>
      <c r="H191" s="12" t="s">
        <v>76</v>
      </c>
      <c r="I191" s="12" t="n">
        <v>12</v>
      </c>
      <c r="J191" s="12" t="s">
        <v>40</v>
      </c>
      <c r="K191" s="12" t="s">
        <v>48</v>
      </c>
      <c r="L191" s="12" t="str">
        <f aca="false">IF(OR(H191="Severe",H191="Life-Threatening"),"Yes","No")</f>
        <v>Yes</v>
      </c>
      <c r="M191" s="12" t="str">
        <f aca="false">IF(B191&lt;18,"0-17",IF(B191&lt;40,"18-39",IF(B191&lt;60,"40-59","60+")))</f>
        <v>40-59</v>
      </c>
      <c r="N191" s="12" t="str">
        <f aca="false">IF(I191&lt;=1,"0-1 days",IF(I191&lt;=7,"2-7 days",IF(I191&lt;=30,"8-30 days","&gt;30 days")))</f>
        <v>8-30 days</v>
      </c>
    </row>
    <row r="192" customFormat="false" ht="15" hidden="false" customHeight="false" outlineLevel="0" collapsed="false">
      <c r="A192" s="12" t="s">
        <v>411</v>
      </c>
      <c r="B192" s="12" t="n">
        <v>56</v>
      </c>
      <c r="C192" s="12" t="s">
        <v>34</v>
      </c>
      <c r="D192" s="12" t="s">
        <v>102</v>
      </c>
      <c r="E192" s="12" t="s">
        <v>412</v>
      </c>
      <c r="F192" s="12" t="s">
        <v>214</v>
      </c>
      <c r="G192" s="12" t="s">
        <v>115</v>
      </c>
      <c r="H192" s="12" t="s">
        <v>76</v>
      </c>
      <c r="I192" s="12" t="n">
        <v>6</v>
      </c>
      <c r="J192" s="12" t="s">
        <v>40</v>
      </c>
      <c r="K192" s="12" t="s">
        <v>63</v>
      </c>
      <c r="L192" s="12" t="str">
        <f aca="false">IF(OR(H192="Severe",H192="Life-Threatening"),"Yes","No")</f>
        <v>Yes</v>
      </c>
      <c r="M192" s="12" t="str">
        <f aca="false">IF(B192&lt;18,"0-17",IF(B192&lt;40,"18-39",IF(B192&lt;60,"40-59","60+")))</f>
        <v>40-59</v>
      </c>
      <c r="N192" s="12" t="str">
        <f aca="false">IF(I192&lt;=1,"0-1 days",IF(I192&lt;=7,"2-7 days",IF(I192&lt;=30,"8-30 days","&gt;30 days")))</f>
        <v>2-7 days</v>
      </c>
    </row>
    <row r="193" customFormat="false" ht="15" hidden="false" customHeight="false" outlineLevel="0" collapsed="false">
      <c r="A193" s="12" t="s">
        <v>413</v>
      </c>
      <c r="B193" s="12" t="n">
        <v>75</v>
      </c>
      <c r="C193" s="12" t="s">
        <v>34</v>
      </c>
      <c r="D193" s="12" t="s">
        <v>144</v>
      </c>
      <c r="E193" s="12" t="s">
        <v>386</v>
      </c>
      <c r="F193" s="12" t="s">
        <v>62</v>
      </c>
      <c r="G193" s="12" t="s">
        <v>53</v>
      </c>
      <c r="H193" s="12" t="s">
        <v>46</v>
      </c>
      <c r="I193" s="12" t="n">
        <v>22</v>
      </c>
      <c r="J193" s="12" t="s">
        <v>40</v>
      </c>
      <c r="K193" s="12" t="s">
        <v>63</v>
      </c>
      <c r="L193" s="12" t="str">
        <f aca="false">IF(OR(H193="Severe",H193="Life-Threatening"),"Yes","No")</f>
        <v>No</v>
      </c>
      <c r="M193" s="12" t="str">
        <f aca="false">IF(B193&lt;18,"0-17",IF(B193&lt;40,"18-39",IF(B193&lt;60,"40-59","60+")))</f>
        <v>60+</v>
      </c>
      <c r="N193" s="12" t="str">
        <f aca="false">IF(I193&lt;=1,"0-1 days",IF(I193&lt;=7,"2-7 days",IF(I193&lt;=30,"8-30 days","&gt;30 days")))</f>
        <v>8-30 days</v>
      </c>
    </row>
    <row r="194" customFormat="false" ht="15" hidden="false" customHeight="false" outlineLevel="0" collapsed="false">
      <c r="A194" s="12" t="s">
        <v>414</v>
      </c>
      <c r="B194" s="12" t="n">
        <v>42</v>
      </c>
      <c r="C194" s="12" t="s">
        <v>43</v>
      </c>
      <c r="D194" s="12" t="s">
        <v>245</v>
      </c>
      <c r="E194" s="12" t="s">
        <v>61</v>
      </c>
      <c r="F194" s="12" t="s">
        <v>62</v>
      </c>
      <c r="G194" s="12" t="s">
        <v>53</v>
      </c>
      <c r="H194" s="12" t="s">
        <v>46</v>
      </c>
      <c r="I194" s="12" t="n">
        <v>10</v>
      </c>
      <c r="J194" s="12" t="s">
        <v>40</v>
      </c>
      <c r="K194" s="12" t="s">
        <v>63</v>
      </c>
      <c r="L194" s="12" t="str">
        <f aca="false">IF(OR(H194="Severe",H194="Life-Threatening"),"Yes","No")</f>
        <v>No</v>
      </c>
      <c r="M194" s="12" t="str">
        <f aca="false">IF(B194&lt;18,"0-17",IF(B194&lt;40,"18-39",IF(B194&lt;60,"40-59","60+")))</f>
        <v>40-59</v>
      </c>
      <c r="N194" s="12" t="str">
        <f aca="false">IF(I194&lt;=1,"0-1 days",IF(I194&lt;=7,"2-7 days",IF(I194&lt;=30,"8-30 days","&gt;30 days")))</f>
        <v>8-30 days</v>
      </c>
    </row>
    <row r="195" customFormat="false" ht="15" hidden="false" customHeight="false" outlineLevel="0" collapsed="false">
      <c r="A195" s="12" t="s">
        <v>415</v>
      </c>
      <c r="B195" s="12" t="n">
        <v>55</v>
      </c>
      <c r="C195" s="12" t="s">
        <v>34</v>
      </c>
      <c r="D195" s="12" t="s">
        <v>35</v>
      </c>
      <c r="E195" s="12" t="s">
        <v>127</v>
      </c>
      <c r="F195" s="12" t="s">
        <v>128</v>
      </c>
      <c r="G195" s="12" t="s">
        <v>53</v>
      </c>
      <c r="H195" s="12" t="s">
        <v>46</v>
      </c>
      <c r="I195" s="12" t="n">
        <v>16</v>
      </c>
      <c r="J195" s="12" t="s">
        <v>47</v>
      </c>
      <c r="K195" s="12" t="s">
        <v>63</v>
      </c>
      <c r="L195" s="12" t="str">
        <f aca="false">IF(OR(H195="Severe",H195="Life-Threatening"),"Yes","No")</f>
        <v>No</v>
      </c>
      <c r="M195" s="12" t="str">
        <f aca="false">IF(B195&lt;18,"0-17",IF(B195&lt;40,"18-39",IF(B195&lt;60,"40-59","60+")))</f>
        <v>40-59</v>
      </c>
      <c r="N195" s="12" t="str">
        <f aca="false">IF(I195&lt;=1,"0-1 days",IF(I195&lt;=7,"2-7 days",IF(I195&lt;=30,"8-30 days","&gt;30 days")))</f>
        <v>8-30 days</v>
      </c>
    </row>
    <row r="196" customFormat="false" ht="15" hidden="false" customHeight="false" outlineLevel="0" collapsed="false">
      <c r="A196" s="12" t="s">
        <v>416</v>
      </c>
      <c r="B196" s="12" t="n">
        <v>59</v>
      </c>
      <c r="C196" s="12" t="s">
        <v>34</v>
      </c>
      <c r="D196" s="12" t="s">
        <v>155</v>
      </c>
      <c r="E196" s="12" t="s">
        <v>243</v>
      </c>
      <c r="F196" s="12" t="s">
        <v>139</v>
      </c>
      <c r="G196" s="12" t="s">
        <v>38</v>
      </c>
      <c r="H196" s="12" t="s">
        <v>39</v>
      </c>
      <c r="I196" s="12" t="n">
        <v>20</v>
      </c>
      <c r="J196" s="12" t="s">
        <v>47</v>
      </c>
      <c r="K196" s="12" t="s">
        <v>48</v>
      </c>
      <c r="L196" s="12" t="str">
        <f aca="false">IF(OR(H196="Severe",H196="Life-Threatening"),"Yes","No")</f>
        <v>No</v>
      </c>
      <c r="M196" s="12" t="str">
        <f aca="false">IF(B196&lt;18,"0-17",IF(B196&lt;40,"18-39",IF(B196&lt;60,"40-59","60+")))</f>
        <v>40-59</v>
      </c>
      <c r="N196" s="12" t="str">
        <f aca="false">IF(I196&lt;=1,"0-1 days",IF(I196&lt;=7,"2-7 days",IF(I196&lt;=30,"8-30 days","&gt;30 days")))</f>
        <v>8-30 days</v>
      </c>
    </row>
    <row r="197" customFormat="false" ht="15" hidden="false" customHeight="false" outlineLevel="0" collapsed="false">
      <c r="A197" s="12" t="s">
        <v>417</v>
      </c>
      <c r="B197" s="12" t="n">
        <v>33</v>
      </c>
      <c r="C197" s="12" t="s">
        <v>34</v>
      </c>
      <c r="D197" s="12" t="s">
        <v>91</v>
      </c>
      <c r="E197" s="12" t="s">
        <v>200</v>
      </c>
      <c r="F197" s="12" t="s">
        <v>403</v>
      </c>
      <c r="G197" s="12" t="s">
        <v>80</v>
      </c>
      <c r="H197" s="12" t="s">
        <v>76</v>
      </c>
      <c r="I197" s="12" t="n">
        <v>13</v>
      </c>
      <c r="J197" s="12" t="s">
        <v>169</v>
      </c>
      <c r="K197" s="12" t="s">
        <v>48</v>
      </c>
      <c r="L197" s="12" t="str">
        <f aca="false">IF(OR(H197="Severe",H197="Life-Threatening"),"Yes","No")</f>
        <v>Yes</v>
      </c>
      <c r="M197" s="12" t="str">
        <f aca="false">IF(B197&lt;18,"0-17",IF(B197&lt;40,"18-39",IF(B197&lt;60,"40-59","60+")))</f>
        <v>18-39</v>
      </c>
      <c r="N197" s="12" t="str">
        <f aca="false">IF(I197&lt;=1,"0-1 days",IF(I197&lt;=7,"2-7 days",IF(I197&lt;=30,"8-30 days","&gt;30 days")))</f>
        <v>8-30 days</v>
      </c>
    </row>
    <row r="198" customFormat="false" ht="15" hidden="false" customHeight="false" outlineLevel="0" collapsed="false">
      <c r="A198" s="12" t="s">
        <v>418</v>
      </c>
      <c r="B198" s="12" t="n">
        <v>24</v>
      </c>
      <c r="C198" s="12" t="s">
        <v>43</v>
      </c>
      <c r="D198" s="12" t="s">
        <v>126</v>
      </c>
      <c r="E198" s="12" t="s">
        <v>127</v>
      </c>
      <c r="F198" s="12" t="s">
        <v>128</v>
      </c>
      <c r="G198" s="12" t="s">
        <v>53</v>
      </c>
      <c r="H198" s="12" t="s">
        <v>39</v>
      </c>
      <c r="I198" s="12" t="n">
        <v>3</v>
      </c>
      <c r="J198" s="12" t="s">
        <v>40</v>
      </c>
      <c r="K198" s="12" t="s">
        <v>63</v>
      </c>
      <c r="L198" s="12" t="str">
        <f aca="false">IF(OR(H198="Severe",H198="Life-Threatening"),"Yes","No")</f>
        <v>No</v>
      </c>
      <c r="M198" s="12" t="str">
        <f aca="false">IF(B198&lt;18,"0-17",IF(B198&lt;40,"18-39",IF(B198&lt;60,"40-59","60+")))</f>
        <v>18-39</v>
      </c>
      <c r="N198" s="12" t="str">
        <f aca="false">IF(I198&lt;=1,"0-1 days",IF(I198&lt;=7,"2-7 days",IF(I198&lt;=30,"8-30 days","&gt;30 days")))</f>
        <v>2-7 days</v>
      </c>
    </row>
    <row r="199" customFormat="false" ht="15" hidden="false" customHeight="false" outlineLevel="0" collapsed="false">
      <c r="A199" s="12" t="s">
        <v>419</v>
      </c>
      <c r="B199" s="12" t="n">
        <v>49</v>
      </c>
      <c r="C199" s="12" t="s">
        <v>43</v>
      </c>
      <c r="D199" s="12" t="s">
        <v>211</v>
      </c>
      <c r="E199" s="12" t="s">
        <v>315</v>
      </c>
      <c r="F199" s="12" t="s">
        <v>176</v>
      </c>
      <c r="G199" s="12" t="s">
        <v>177</v>
      </c>
      <c r="H199" s="12" t="s">
        <v>39</v>
      </c>
      <c r="I199" s="12" t="n">
        <v>3</v>
      </c>
      <c r="J199" s="12" t="s">
        <v>40</v>
      </c>
      <c r="K199" s="12" t="s">
        <v>63</v>
      </c>
      <c r="L199" s="12" t="str">
        <f aca="false">IF(OR(H199="Severe",H199="Life-Threatening"),"Yes","No")</f>
        <v>No</v>
      </c>
      <c r="M199" s="12" t="str">
        <f aca="false">IF(B199&lt;18,"0-17",IF(B199&lt;40,"18-39",IF(B199&lt;60,"40-59","60+")))</f>
        <v>40-59</v>
      </c>
      <c r="N199" s="12" t="str">
        <f aca="false">IF(I199&lt;=1,"0-1 days",IF(I199&lt;=7,"2-7 days",IF(I199&lt;=30,"8-30 days","&gt;30 days")))</f>
        <v>2-7 days</v>
      </c>
    </row>
    <row r="200" customFormat="false" ht="15" hidden="false" customHeight="false" outlineLevel="0" collapsed="false">
      <c r="A200" s="12" t="s">
        <v>420</v>
      </c>
      <c r="B200" s="12" t="n">
        <v>58</v>
      </c>
      <c r="C200" s="12" t="s">
        <v>34</v>
      </c>
      <c r="D200" s="12" t="s">
        <v>69</v>
      </c>
      <c r="E200" s="12" t="s">
        <v>173</v>
      </c>
      <c r="F200" s="12" t="s">
        <v>214</v>
      </c>
      <c r="G200" s="12" t="s">
        <v>115</v>
      </c>
      <c r="H200" s="12" t="s">
        <v>76</v>
      </c>
      <c r="I200" s="12" t="n">
        <v>2</v>
      </c>
      <c r="J200" s="12" t="s">
        <v>47</v>
      </c>
      <c r="K200" s="12" t="s">
        <v>63</v>
      </c>
      <c r="L200" s="12" t="str">
        <f aca="false">IF(OR(H200="Severe",H200="Life-Threatening"),"Yes","No")</f>
        <v>Yes</v>
      </c>
      <c r="M200" s="12" t="str">
        <f aca="false">IF(B200&lt;18,"0-17",IF(B200&lt;40,"18-39",IF(B200&lt;60,"40-59","60+")))</f>
        <v>40-59</v>
      </c>
      <c r="N200" s="12" t="str">
        <f aca="false">IF(I200&lt;=1,"0-1 days",IF(I200&lt;=7,"2-7 days",IF(I200&lt;=30,"8-30 days","&gt;30 days")))</f>
        <v>2-7 days</v>
      </c>
    </row>
    <row r="201" customFormat="false" ht="15" hidden="false" customHeight="false" outlineLevel="0" collapsed="false">
      <c r="A201" s="12" t="s">
        <v>421</v>
      </c>
      <c r="B201" s="12" t="n">
        <v>49</v>
      </c>
      <c r="C201" s="12" t="s">
        <v>43</v>
      </c>
      <c r="D201" s="12" t="s">
        <v>50</v>
      </c>
      <c r="E201" s="12" t="s">
        <v>127</v>
      </c>
      <c r="F201" s="12" t="s">
        <v>325</v>
      </c>
      <c r="G201" s="12" t="s">
        <v>177</v>
      </c>
      <c r="H201" s="12" t="s">
        <v>76</v>
      </c>
      <c r="I201" s="12" t="n">
        <v>5</v>
      </c>
      <c r="J201" s="12" t="s">
        <v>67</v>
      </c>
      <c r="K201" s="12" t="s">
        <v>41</v>
      </c>
      <c r="L201" s="12" t="str">
        <f aca="false">IF(OR(H201="Severe",H201="Life-Threatening"),"Yes","No")</f>
        <v>Yes</v>
      </c>
      <c r="M201" s="12" t="str">
        <f aca="false">IF(B201&lt;18,"0-17",IF(B201&lt;40,"18-39",IF(B201&lt;60,"40-59","60+")))</f>
        <v>40-59</v>
      </c>
      <c r="N201" s="12" t="str">
        <f aca="false">IF(I201&lt;=1,"0-1 days",IF(I201&lt;=7,"2-7 days",IF(I201&lt;=30,"8-30 days","&gt;30 days")))</f>
        <v>2-7 days</v>
      </c>
    </row>
    <row r="202" customFormat="false" ht="15" hidden="false" customHeight="false" outlineLevel="0" collapsed="false">
      <c r="A202" s="12" t="s">
        <v>422</v>
      </c>
      <c r="B202" s="12" t="n">
        <v>6</v>
      </c>
      <c r="C202" s="12" t="s">
        <v>34</v>
      </c>
      <c r="D202" s="12" t="s">
        <v>69</v>
      </c>
      <c r="E202" s="12" t="s">
        <v>110</v>
      </c>
      <c r="F202" s="12" t="s">
        <v>322</v>
      </c>
      <c r="G202" s="12" t="s">
        <v>53</v>
      </c>
      <c r="H202" s="12" t="s">
        <v>39</v>
      </c>
      <c r="I202" s="12" t="n">
        <v>12</v>
      </c>
      <c r="J202" s="12" t="s">
        <v>40</v>
      </c>
      <c r="K202" s="12" t="s">
        <v>48</v>
      </c>
      <c r="L202" s="12" t="str">
        <f aca="false">IF(OR(H202="Severe",H202="Life-Threatening"),"Yes","No")</f>
        <v>No</v>
      </c>
      <c r="M202" s="12" t="str">
        <f aca="false">IF(B202&lt;18,"0-17",IF(B202&lt;40,"18-39",IF(B202&lt;60,"40-59","60+")))</f>
        <v>0-17</v>
      </c>
      <c r="N202" s="12" t="str">
        <f aca="false">IF(I202&lt;=1,"0-1 days",IF(I202&lt;=7,"2-7 days",IF(I202&lt;=30,"8-30 days","&gt;30 days")))</f>
        <v>8-30 days</v>
      </c>
    </row>
    <row r="203" customFormat="false" ht="15" hidden="false" customHeight="false" outlineLevel="0" collapsed="false">
      <c r="A203" s="12" t="s">
        <v>423</v>
      </c>
      <c r="B203" s="12" t="n">
        <v>42</v>
      </c>
      <c r="C203" s="12" t="s">
        <v>34</v>
      </c>
      <c r="D203" s="12" t="s">
        <v>120</v>
      </c>
      <c r="E203" s="12" t="s">
        <v>179</v>
      </c>
      <c r="F203" s="12" t="s">
        <v>284</v>
      </c>
      <c r="G203" s="12" t="s">
        <v>136</v>
      </c>
      <c r="H203" s="12" t="s">
        <v>59</v>
      </c>
      <c r="I203" s="12" t="n">
        <v>33</v>
      </c>
      <c r="J203" s="12" t="s">
        <v>40</v>
      </c>
      <c r="K203" s="12" t="s">
        <v>48</v>
      </c>
      <c r="L203" s="12" t="str">
        <f aca="false">IF(OR(H203="Severe",H203="Life-Threatening"),"Yes","No")</f>
        <v>Yes</v>
      </c>
      <c r="M203" s="12" t="str">
        <f aca="false">IF(B203&lt;18,"0-17",IF(B203&lt;40,"18-39",IF(B203&lt;60,"40-59","60+")))</f>
        <v>40-59</v>
      </c>
      <c r="N203" s="12" t="str">
        <f aca="false">IF(I203&lt;=1,"0-1 days",IF(I203&lt;=7,"2-7 days",IF(I203&lt;=30,"8-30 days","&gt;30 days")))</f>
        <v>&gt;30 days</v>
      </c>
    </row>
    <row r="204" customFormat="false" ht="15" hidden="false" customHeight="false" outlineLevel="0" collapsed="false">
      <c r="A204" s="12" t="s">
        <v>424</v>
      </c>
      <c r="B204" s="12" t="n">
        <v>49</v>
      </c>
      <c r="C204" s="12" t="s">
        <v>43</v>
      </c>
      <c r="D204" s="12" t="s">
        <v>91</v>
      </c>
      <c r="E204" s="12" t="s">
        <v>113</v>
      </c>
      <c r="F204" s="12" t="s">
        <v>62</v>
      </c>
      <c r="G204" s="12" t="s">
        <v>53</v>
      </c>
      <c r="H204" s="12" t="s">
        <v>59</v>
      </c>
      <c r="I204" s="12" t="n">
        <v>25</v>
      </c>
      <c r="J204" s="12" t="s">
        <v>67</v>
      </c>
      <c r="K204" s="12" t="s">
        <v>41</v>
      </c>
      <c r="L204" s="12" t="str">
        <f aca="false">IF(OR(H204="Severe",H204="Life-Threatening"),"Yes","No")</f>
        <v>Yes</v>
      </c>
      <c r="M204" s="12" t="str">
        <f aca="false">IF(B204&lt;18,"0-17",IF(B204&lt;40,"18-39",IF(B204&lt;60,"40-59","60+")))</f>
        <v>40-59</v>
      </c>
      <c r="N204" s="12" t="str">
        <f aca="false">IF(I204&lt;=1,"0-1 days",IF(I204&lt;=7,"2-7 days",IF(I204&lt;=30,"8-30 days","&gt;30 days")))</f>
        <v>8-30 days</v>
      </c>
    </row>
    <row r="205" customFormat="false" ht="15" hidden="false" customHeight="false" outlineLevel="0" collapsed="false">
      <c r="A205" s="12" t="s">
        <v>425</v>
      </c>
      <c r="B205" s="12" t="n">
        <v>72</v>
      </c>
      <c r="C205" s="12" t="s">
        <v>34</v>
      </c>
      <c r="D205" s="12" t="s">
        <v>88</v>
      </c>
      <c r="E205" s="12" t="s">
        <v>256</v>
      </c>
      <c r="F205" s="12" t="s">
        <v>264</v>
      </c>
      <c r="G205" s="12" t="s">
        <v>104</v>
      </c>
      <c r="H205" s="12" t="s">
        <v>59</v>
      </c>
      <c r="I205" s="12" t="n">
        <v>41</v>
      </c>
      <c r="J205" s="12" t="s">
        <v>40</v>
      </c>
      <c r="K205" s="12" t="s">
        <v>48</v>
      </c>
      <c r="L205" s="12" t="str">
        <f aca="false">IF(OR(H205="Severe",H205="Life-Threatening"),"Yes","No")</f>
        <v>Yes</v>
      </c>
      <c r="M205" s="12" t="str">
        <f aca="false">IF(B205&lt;18,"0-17",IF(B205&lt;40,"18-39",IF(B205&lt;60,"40-59","60+")))</f>
        <v>60+</v>
      </c>
      <c r="N205" s="12" t="str">
        <f aca="false">IF(I205&lt;=1,"0-1 days",IF(I205&lt;=7,"2-7 days",IF(I205&lt;=30,"8-30 days","&gt;30 days")))</f>
        <v>&gt;30 days</v>
      </c>
    </row>
    <row r="206" customFormat="false" ht="15" hidden="false" customHeight="false" outlineLevel="0" collapsed="false">
      <c r="A206" s="12" t="s">
        <v>426</v>
      </c>
      <c r="B206" s="12" t="n">
        <v>66</v>
      </c>
      <c r="C206" s="12" t="s">
        <v>43</v>
      </c>
      <c r="D206" s="12" t="s">
        <v>120</v>
      </c>
      <c r="E206" s="12" t="s">
        <v>118</v>
      </c>
      <c r="F206" s="12" t="s">
        <v>45</v>
      </c>
      <c r="G206" s="12" t="s">
        <v>38</v>
      </c>
      <c r="H206" s="12" t="s">
        <v>46</v>
      </c>
      <c r="I206" s="12" t="n">
        <v>11</v>
      </c>
      <c r="J206" s="12" t="s">
        <v>40</v>
      </c>
      <c r="K206" s="12" t="s">
        <v>48</v>
      </c>
      <c r="L206" s="12" t="str">
        <f aca="false">IF(OR(H206="Severe",H206="Life-Threatening"),"Yes","No")</f>
        <v>No</v>
      </c>
      <c r="M206" s="12" t="str">
        <f aca="false">IF(B206&lt;18,"0-17",IF(B206&lt;40,"18-39",IF(B206&lt;60,"40-59","60+")))</f>
        <v>60+</v>
      </c>
      <c r="N206" s="12" t="str">
        <f aca="false">IF(I206&lt;=1,"0-1 days",IF(I206&lt;=7,"2-7 days",IF(I206&lt;=30,"8-30 days","&gt;30 days")))</f>
        <v>8-30 days</v>
      </c>
    </row>
    <row r="207" customFormat="false" ht="15" hidden="false" customHeight="false" outlineLevel="0" collapsed="false">
      <c r="A207" s="12" t="s">
        <v>427</v>
      </c>
      <c r="B207" s="12" t="n">
        <v>39</v>
      </c>
      <c r="C207" s="12" t="s">
        <v>43</v>
      </c>
      <c r="D207" s="12" t="s">
        <v>196</v>
      </c>
      <c r="E207" s="12" t="s">
        <v>56</v>
      </c>
      <c r="F207" s="12" t="s">
        <v>100</v>
      </c>
      <c r="G207" s="12" t="s">
        <v>72</v>
      </c>
      <c r="H207" s="12" t="s">
        <v>46</v>
      </c>
      <c r="I207" s="12" t="n">
        <v>7</v>
      </c>
      <c r="J207" s="12" t="s">
        <v>40</v>
      </c>
      <c r="K207" s="12" t="s">
        <v>48</v>
      </c>
      <c r="L207" s="12" t="str">
        <f aca="false">IF(OR(H207="Severe",H207="Life-Threatening"),"Yes","No")</f>
        <v>No</v>
      </c>
      <c r="M207" s="12" t="str">
        <f aca="false">IF(B207&lt;18,"0-17",IF(B207&lt;40,"18-39",IF(B207&lt;60,"40-59","60+")))</f>
        <v>18-39</v>
      </c>
      <c r="N207" s="12" t="str">
        <f aca="false">IF(I207&lt;=1,"0-1 days",IF(I207&lt;=7,"2-7 days",IF(I207&lt;=30,"8-30 days","&gt;30 days")))</f>
        <v>2-7 days</v>
      </c>
    </row>
    <row r="208" customFormat="false" ht="15" hidden="false" customHeight="false" outlineLevel="0" collapsed="false">
      <c r="A208" s="12" t="s">
        <v>428</v>
      </c>
      <c r="B208" s="12" t="n">
        <v>44</v>
      </c>
      <c r="C208" s="12" t="s">
        <v>34</v>
      </c>
      <c r="D208" s="12" t="s">
        <v>190</v>
      </c>
      <c r="E208" s="12" t="s">
        <v>179</v>
      </c>
      <c r="F208" s="12" t="s">
        <v>325</v>
      </c>
      <c r="G208" s="12" t="s">
        <v>177</v>
      </c>
      <c r="H208" s="12" t="s">
        <v>59</v>
      </c>
      <c r="I208" s="12" t="n">
        <v>25</v>
      </c>
      <c r="J208" s="12" t="s">
        <v>67</v>
      </c>
      <c r="K208" s="12" t="s">
        <v>48</v>
      </c>
      <c r="L208" s="12" t="str">
        <f aca="false">IF(OR(H208="Severe",H208="Life-Threatening"),"Yes","No")</f>
        <v>Yes</v>
      </c>
      <c r="M208" s="12" t="str">
        <f aca="false">IF(B208&lt;18,"0-17",IF(B208&lt;40,"18-39",IF(B208&lt;60,"40-59","60+")))</f>
        <v>40-59</v>
      </c>
      <c r="N208" s="12" t="str">
        <f aca="false">IF(I208&lt;=1,"0-1 days",IF(I208&lt;=7,"2-7 days",IF(I208&lt;=30,"8-30 days","&gt;30 days")))</f>
        <v>8-30 days</v>
      </c>
    </row>
    <row r="209" customFormat="false" ht="15" hidden="false" customHeight="false" outlineLevel="0" collapsed="false">
      <c r="A209" s="12" t="s">
        <v>429</v>
      </c>
      <c r="B209" s="12" t="n">
        <v>28</v>
      </c>
      <c r="C209" s="12" t="s">
        <v>43</v>
      </c>
      <c r="D209" s="12" t="s">
        <v>168</v>
      </c>
      <c r="E209" s="12" t="s">
        <v>225</v>
      </c>
      <c r="F209" s="12" t="s">
        <v>235</v>
      </c>
      <c r="G209" s="12" t="s">
        <v>53</v>
      </c>
      <c r="H209" s="12" t="s">
        <v>46</v>
      </c>
      <c r="I209" s="12" t="n">
        <v>4</v>
      </c>
      <c r="J209" s="12" t="s">
        <v>47</v>
      </c>
      <c r="K209" s="12" t="s">
        <v>147</v>
      </c>
      <c r="L209" s="12" t="str">
        <f aca="false">IF(OR(H209="Severe",H209="Life-Threatening"),"Yes","No")</f>
        <v>No</v>
      </c>
      <c r="M209" s="12" t="str">
        <f aca="false">IF(B209&lt;18,"0-17",IF(B209&lt;40,"18-39",IF(B209&lt;60,"40-59","60+")))</f>
        <v>18-39</v>
      </c>
      <c r="N209" s="12" t="str">
        <f aca="false">IF(I209&lt;=1,"0-1 days",IF(I209&lt;=7,"2-7 days",IF(I209&lt;=30,"8-30 days","&gt;30 days")))</f>
        <v>2-7 days</v>
      </c>
    </row>
    <row r="210" customFormat="false" ht="15" hidden="false" customHeight="false" outlineLevel="0" collapsed="false">
      <c r="A210" s="12" t="s">
        <v>430</v>
      </c>
      <c r="B210" s="12" t="n">
        <v>57</v>
      </c>
      <c r="C210" s="12" t="s">
        <v>43</v>
      </c>
      <c r="D210" s="12" t="s">
        <v>55</v>
      </c>
      <c r="E210" s="12" t="s">
        <v>134</v>
      </c>
      <c r="F210" s="12" t="s">
        <v>135</v>
      </c>
      <c r="G210" s="12" t="s">
        <v>136</v>
      </c>
      <c r="H210" s="12" t="s">
        <v>39</v>
      </c>
      <c r="I210" s="12" t="n">
        <v>4</v>
      </c>
      <c r="J210" s="12" t="s">
        <v>40</v>
      </c>
      <c r="K210" s="12" t="s">
        <v>48</v>
      </c>
      <c r="L210" s="12" t="str">
        <f aca="false">IF(OR(H210="Severe",H210="Life-Threatening"),"Yes","No")</f>
        <v>No</v>
      </c>
      <c r="M210" s="12" t="str">
        <f aca="false">IF(B210&lt;18,"0-17",IF(B210&lt;40,"18-39",IF(B210&lt;60,"40-59","60+")))</f>
        <v>40-59</v>
      </c>
      <c r="N210" s="12" t="str">
        <f aca="false">IF(I210&lt;=1,"0-1 days",IF(I210&lt;=7,"2-7 days",IF(I210&lt;=30,"8-30 days","&gt;30 days")))</f>
        <v>2-7 days</v>
      </c>
    </row>
    <row r="211" customFormat="false" ht="15" hidden="false" customHeight="false" outlineLevel="0" collapsed="false">
      <c r="A211" s="12" t="s">
        <v>431</v>
      </c>
      <c r="B211" s="12" t="n">
        <v>43</v>
      </c>
      <c r="C211" s="12" t="s">
        <v>34</v>
      </c>
      <c r="D211" s="12" t="s">
        <v>194</v>
      </c>
      <c r="E211" s="12" t="s">
        <v>315</v>
      </c>
      <c r="F211" s="12" t="s">
        <v>176</v>
      </c>
      <c r="G211" s="12" t="s">
        <v>177</v>
      </c>
      <c r="H211" s="12" t="s">
        <v>39</v>
      </c>
      <c r="I211" s="12" t="n">
        <v>13</v>
      </c>
      <c r="J211" s="12" t="s">
        <v>47</v>
      </c>
      <c r="K211" s="12" t="s">
        <v>48</v>
      </c>
      <c r="L211" s="12" t="str">
        <f aca="false">IF(OR(H211="Severe",H211="Life-Threatening"),"Yes","No")</f>
        <v>No</v>
      </c>
      <c r="M211" s="12" t="str">
        <f aca="false">IF(B211&lt;18,"0-17",IF(B211&lt;40,"18-39",IF(B211&lt;60,"40-59","60+")))</f>
        <v>40-59</v>
      </c>
      <c r="N211" s="12" t="str">
        <f aca="false">IF(I211&lt;=1,"0-1 days",IF(I211&lt;=7,"2-7 days",IF(I211&lt;=30,"8-30 days","&gt;30 days")))</f>
        <v>8-30 days</v>
      </c>
    </row>
    <row r="212" customFormat="false" ht="15" hidden="false" customHeight="false" outlineLevel="0" collapsed="false">
      <c r="A212" s="12" t="s">
        <v>432</v>
      </c>
      <c r="B212" s="12" t="n">
        <v>11</v>
      </c>
      <c r="C212" s="12" t="s">
        <v>43</v>
      </c>
      <c r="D212" s="12" t="s">
        <v>55</v>
      </c>
      <c r="E212" s="12" t="s">
        <v>150</v>
      </c>
      <c r="F212" s="12" t="s">
        <v>151</v>
      </c>
      <c r="G212" s="12" t="s">
        <v>152</v>
      </c>
      <c r="H212" s="12" t="s">
        <v>39</v>
      </c>
      <c r="I212" s="12" t="n">
        <v>1</v>
      </c>
      <c r="J212" s="12" t="s">
        <v>40</v>
      </c>
      <c r="K212" s="12" t="s">
        <v>63</v>
      </c>
      <c r="L212" s="12" t="str">
        <f aca="false">IF(OR(H212="Severe",H212="Life-Threatening"),"Yes","No")</f>
        <v>No</v>
      </c>
      <c r="M212" s="12" t="str">
        <f aca="false">IF(B212&lt;18,"0-17",IF(B212&lt;40,"18-39",IF(B212&lt;60,"40-59","60+")))</f>
        <v>0-17</v>
      </c>
      <c r="N212" s="12" t="str">
        <f aca="false">IF(I212&lt;=1,"0-1 days",IF(I212&lt;=7,"2-7 days",IF(I212&lt;=30,"8-30 days","&gt;30 days")))</f>
        <v>0-1 days</v>
      </c>
    </row>
    <row r="213" customFormat="false" ht="15" hidden="false" customHeight="false" outlineLevel="0" collapsed="false">
      <c r="A213" s="12" t="s">
        <v>433</v>
      </c>
      <c r="B213" s="12" t="n">
        <v>50</v>
      </c>
      <c r="C213" s="12" t="s">
        <v>43</v>
      </c>
      <c r="D213" s="12" t="s">
        <v>102</v>
      </c>
      <c r="E213" s="12" t="s">
        <v>407</v>
      </c>
      <c r="F213" s="12" t="s">
        <v>176</v>
      </c>
      <c r="G213" s="12" t="s">
        <v>177</v>
      </c>
      <c r="H213" s="12" t="s">
        <v>39</v>
      </c>
      <c r="I213" s="12" t="n">
        <v>17</v>
      </c>
      <c r="J213" s="12" t="s">
        <v>40</v>
      </c>
      <c r="K213" s="12" t="s">
        <v>41</v>
      </c>
      <c r="L213" s="12" t="str">
        <f aca="false">IF(OR(H213="Severe",H213="Life-Threatening"),"Yes","No")</f>
        <v>No</v>
      </c>
      <c r="M213" s="12" t="str">
        <f aca="false">IF(B213&lt;18,"0-17",IF(B213&lt;40,"18-39",IF(B213&lt;60,"40-59","60+")))</f>
        <v>40-59</v>
      </c>
      <c r="N213" s="12" t="str">
        <f aca="false">IF(I213&lt;=1,"0-1 days",IF(I213&lt;=7,"2-7 days",IF(I213&lt;=30,"8-30 days","&gt;30 days")))</f>
        <v>8-30 days</v>
      </c>
    </row>
    <row r="214" customFormat="false" ht="15" hidden="false" customHeight="false" outlineLevel="0" collapsed="false">
      <c r="A214" s="12" t="s">
        <v>434</v>
      </c>
      <c r="B214" s="12" t="n">
        <v>52</v>
      </c>
      <c r="C214" s="12" t="s">
        <v>43</v>
      </c>
      <c r="D214" s="12" t="s">
        <v>35</v>
      </c>
      <c r="E214" s="12" t="s">
        <v>44</v>
      </c>
      <c r="F214" s="12" t="s">
        <v>435</v>
      </c>
      <c r="G214" s="12" t="s">
        <v>146</v>
      </c>
      <c r="H214" s="12" t="s">
        <v>59</v>
      </c>
      <c r="I214" s="12" t="n">
        <v>18</v>
      </c>
      <c r="J214" s="12" t="s">
        <v>67</v>
      </c>
      <c r="K214" s="12" t="s">
        <v>63</v>
      </c>
      <c r="L214" s="12" t="str">
        <f aca="false">IF(OR(H214="Severe",H214="Life-Threatening"),"Yes","No")</f>
        <v>Yes</v>
      </c>
      <c r="M214" s="12" t="str">
        <f aca="false">IF(B214&lt;18,"0-17",IF(B214&lt;40,"18-39",IF(B214&lt;60,"40-59","60+")))</f>
        <v>40-59</v>
      </c>
      <c r="N214" s="12" t="str">
        <f aca="false">IF(I214&lt;=1,"0-1 days",IF(I214&lt;=7,"2-7 days",IF(I214&lt;=30,"8-30 days","&gt;30 days")))</f>
        <v>8-30 days</v>
      </c>
    </row>
    <row r="215" customFormat="false" ht="15" hidden="false" customHeight="false" outlineLevel="0" collapsed="false">
      <c r="A215" s="12" t="s">
        <v>436</v>
      </c>
      <c r="B215" s="12" t="n">
        <v>50</v>
      </c>
      <c r="C215" s="12" t="s">
        <v>43</v>
      </c>
      <c r="D215" s="12" t="s">
        <v>35</v>
      </c>
      <c r="E215" s="12" t="s">
        <v>124</v>
      </c>
      <c r="F215" s="12" t="s">
        <v>62</v>
      </c>
      <c r="G215" s="12" t="s">
        <v>53</v>
      </c>
      <c r="H215" s="12" t="s">
        <v>46</v>
      </c>
      <c r="I215" s="12" t="n">
        <v>15</v>
      </c>
      <c r="J215" s="12" t="s">
        <v>40</v>
      </c>
      <c r="K215" s="12" t="s">
        <v>41</v>
      </c>
      <c r="L215" s="12" t="str">
        <f aca="false">IF(OR(H215="Severe",H215="Life-Threatening"),"Yes","No")</f>
        <v>No</v>
      </c>
      <c r="M215" s="12" t="str">
        <f aca="false">IF(B215&lt;18,"0-17",IF(B215&lt;40,"18-39",IF(B215&lt;60,"40-59","60+")))</f>
        <v>40-59</v>
      </c>
      <c r="N215" s="12" t="str">
        <f aca="false">IF(I215&lt;=1,"0-1 days",IF(I215&lt;=7,"2-7 days",IF(I215&lt;=30,"8-30 days","&gt;30 days")))</f>
        <v>8-30 days</v>
      </c>
    </row>
    <row r="216" customFormat="false" ht="15" hidden="false" customHeight="false" outlineLevel="0" collapsed="false">
      <c r="A216" s="12" t="s">
        <v>437</v>
      </c>
      <c r="B216" s="12" t="n">
        <v>17</v>
      </c>
      <c r="C216" s="12" t="s">
        <v>34</v>
      </c>
      <c r="D216" s="12" t="s">
        <v>196</v>
      </c>
      <c r="E216" s="12" t="s">
        <v>121</v>
      </c>
      <c r="F216" s="12" t="s">
        <v>45</v>
      </c>
      <c r="G216" s="12" t="s">
        <v>38</v>
      </c>
      <c r="H216" s="12" t="s">
        <v>46</v>
      </c>
      <c r="I216" s="12" t="n">
        <v>19</v>
      </c>
      <c r="J216" s="12" t="s">
        <v>47</v>
      </c>
      <c r="K216" s="12" t="s">
        <v>41</v>
      </c>
      <c r="L216" s="12" t="str">
        <f aca="false">IF(OR(H216="Severe",H216="Life-Threatening"),"Yes","No")</f>
        <v>No</v>
      </c>
      <c r="M216" s="12" t="str">
        <f aca="false">IF(B216&lt;18,"0-17",IF(B216&lt;40,"18-39",IF(B216&lt;60,"40-59","60+")))</f>
        <v>0-17</v>
      </c>
      <c r="N216" s="12" t="str">
        <f aca="false">IF(I216&lt;=1,"0-1 days",IF(I216&lt;=7,"2-7 days",IF(I216&lt;=30,"8-30 days","&gt;30 days")))</f>
        <v>8-30 days</v>
      </c>
    </row>
    <row r="217" customFormat="false" ht="15" hidden="false" customHeight="false" outlineLevel="0" collapsed="false">
      <c r="A217" s="12" t="s">
        <v>438</v>
      </c>
      <c r="B217" s="12" t="n">
        <v>29</v>
      </c>
      <c r="C217" s="12" t="s">
        <v>34</v>
      </c>
      <c r="D217" s="12" t="s">
        <v>123</v>
      </c>
      <c r="E217" s="12" t="s">
        <v>127</v>
      </c>
      <c r="F217" s="12" t="s">
        <v>325</v>
      </c>
      <c r="G217" s="12" t="s">
        <v>177</v>
      </c>
      <c r="H217" s="12" t="s">
        <v>59</v>
      </c>
      <c r="I217" s="12" t="n">
        <v>3</v>
      </c>
      <c r="J217" s="12" t="s">
        <v>105</v>
      </c>
      <c r="K217" s="12" t="s">
        <v>63</v>
      </c>
      <c r="L217" s="12" t="str">
        <f aca="false">IF(OR(H217="Severe",H217="Life-Threatening"),"Yes","No")</f>
        <v>Yes</v>
      </c>
      <c r="M217" s="12" t="str">
        <f aca="false">IF(B217&lt;18,"0-17",IF(B217&lt;40,"18-39",IF(B217&lt;60,"40-59","60+")))</f>
        <v>18-39</v>
      </c>
      <c r="N217" s="12" t="str">
        <f aca="false">IF(I217&lt;=1,"0-1 days",IF(I217&lt;=7,"2-7 days",IF(I217&lt;=30,"8-30 days","&gt;30 days")))</f>
        <v>2-7 days</v>
      </c>
    </row>
    <row r="218" customFormat="false" ht="15" hidden="false" customHeight="false" outlineLevel="0" collapsed="false">
      <c r="A218" s="12" t="s">
        <v>439</v>
      </c>
      <c r="B218" s="12" t="n">
        <v>34</v>
      </c>
      <c r="C218" s="12" t="s">
        <v>43</v>
      </c>
      <c r="D218" s="12" t="s">
        <v>102</v>
      </c>
      <c r="E218" s="12" t="s">
        <v>324</v>
      </c>
      <c r="F218" s="12" t="s">
        <v>45</v>
      </c>
      <c r="G218" s="12" t="s">
        <v>38</v>
      </c>
      <c r="H218" s="12" t="s">
        <v>46</v>
      </c>
      <c r="I218" s="12" t="n">
        <v>8</v>
      </c>
      <c r="J218" s="12" t="s">
        <v>47</v>
      </c>
      <c r="K218" s="12" t="s">
        <v>63</v>
      </c>
      <c r="L218" s="12" t="str">
        <f aca="false">IF(OR(H218="Severe",H218="Life-Threatening"),"Yes","No")</f>
        <v>No</v>
      </c>
      <c r="M218" s="12" t="str">
        <f aca="false">IF(B218&lt;18,"0-17",IF(B218&lt;40,"18-39",IF(B218&lt;60,"40-59","60+")))</f>
        <v>18-39</v>
      </c>
      <c r="N218" s="12" t="str">
        <f aca="false">IF(I218&lt;=1,"0-1 days",IF(I218&lt;=7,"2-7 days",IF(I218&lt;=30,"8-30 days","&gt;30 days")))</f>
        <v>8-30 days</v>
      </c>
    </row>
    <row r="219" customFormat="false" ht="15" hidden="false" customHeight="false" outlineLevel="0" collapsed="false">
      <c r="A219" s="12" t="s">
        <v>440</v>
      </c>
      <c r="B219" s="12" t="n">
        <v>22</v>
      </c>
      <c r="C219" s="12" t="s">
        <v>43</v>
      </c>
      <c r="D219" s="12" t="s">
        <v>327</v>
      </c>
      <c r="E219" s="12" t="s">
        <v>183</v>
      </c>
      <c r="F219" s="12" t="s">
        <v>139</v>
      </c>
      <c r="G219" s="12" t="s">
        <v>38</v>
      </c>
      <c r="H219" s="12" t="s">
        <v>46</v>
      </c>
      <c r="I219" s="12" t="n">
        <v>26</v>
      </c>
      <c r="J219" s="12" t="s">
        <v>40</v>
      </c>
      <c r="K219" s="12" t="s">
        <v>48</v>
      </c>
      <c r="L219" s="12" t="str">
        <f aca="false">IF(OR(H219="Severe",H219="Life-Threatening"),"Yes","No")</f>
        <v>No</v>
      </c>
      <c r="M219" s="12" t="str">
        <f aca="false">IF(B219&lt;18,"0-17",IF(B219&lt;40,"18-39",IF(B219&lt;60,"40-59","60+")))</f>
        <v>18-39</v>
      </c>
      <c r="N219" s="12" t="str">
        <f aca="false">IF(I219&lt;=1,"0-1 days",IF(I219&lt;=7,"2-7 days",IF(I219&lt;=30,"8-30 days","&gt;30 days")))</f>
        <v>8-30 days</v>
      </c>
    </row>
    <row r="220" customFormat="false" ht="15" hidden="false" customHeight="false" outlineLevel="0" collapsed="false">
      <c r="A220" s="12" t="s">
        <v>441</v>
      </c>
      <c r="B220" s="12" t="n">
        <v>52</v>
      </c>
      <c r="C220" s="12" t="s">
        <v>43</v>
      </c>
      <c r="D220" s="12" t="s">
        <v>55</v>
      </c>
      <c r="E220" s="12" t="s">
        <v>311</v>
      </c>
      <c r="F220" s="12" t="s">
        <v>442</v>
      </c>
      <c r="G220" s="12" t="s">
        <v>177</v>
      </c>
      <c r="H220" s="12" t="s">
        <v>59</v>
      </c>
      <c r="I220" s="12" t="n">
        <v>26</v>
      </c>
      <c r="J220" s="12" t="s">
        <v>40</v>
      </c>
      <c r="K220" s="12" t="s">
        <v>63</v>
      </c>
      <c r="L220" s="12" t="str">
        <f aca="false">IF(OR(H220="Severe",H220="Life-Threatening"),"Yes","No")</f>
        <v>Yes</v>
      </c>
      <c r="M220" s="12" t="str">
        <f aca="false">IF(B220&lt;18,"0-17",IF(B220&lt;40,"18-39",IF(B220&lt;60,"40-59","60+")))</f>
        <v>40-59</v>
      </c>
      <c r="N220" s="12" t="str">
        <f aca="false">IF(I220&lt;=1,"0-1 days",IF(I220&lt;=7,"2-7 days",IF(I220&lt;=30,"8-30 days","&gt;30 days")))</f>
        <v>8-30 days</v>
      </c>
    </row>
    <row r="221" customFormat="false" ht="15" hidden="false" customHeight="false" outlineLevel="0" collapsed="false">
      <c r="A221" s="12" t="s">
        <v>443</v>
      </c>
      <c r="B221" s="12" t="n">
        <v>63</v>
      </c>
      <c r="C221" s="12" t="s">
        <v>43</v>
      </c>
      <c r="D221" s="12" t="s">
        <v>55</v>
      </c>
      <c r="E221" s="12" t="s">
        <v>412</v>
      </c>
      <c r="F221" s="12" t="s">
        <v>214</v>
      </c>
      <c r="G221" s="12" t="s">
        <v>115</v>
      </c>
      <c r="H221" s="12" t="s">
        <v>39</v>
      </c>
      <c r="I221" s="12" t="n">
        <v>14</v>
      </c>
      <c r="J221" s="12" t="s">
        <v>40</v>
      </c>
      <c r="K221" s="12" t="s">
        <v>147</v>
      </c>
      <c r="L221" s="12" t="str">
        <f aca="false">IF(OR(H221="Severe",H221="Life-Threatening"),"Yes","No")</f>
        <v>No</v>
      </c>
      <c r="M221" s="12" t="str">
        <f aca="false">IF(B221&lt;18,"0-17",IF(B221&lt;40,"18-39",IF(B221&lt;60,"40-59","60+")))</f>
        <v>60+</v>
      </c>
      <c r="N221" s="12" t="str">
        <f aca="false">IF(I221&lt;=1,"0-1 days",IF(I221&lt;=7,"2-7 days",IF(I221&lt;=30,"8-30 days","&gt;30 days")))</f>
        <v>8-30 days</v>
      </c>
    </row>
    <row r="222" customFormat="false" ht="15" hidden="false" customHeight="false" outlineLevel="0" collapsed="false">
      <c r="A222" s="12" t="s">
        <v>444</v>
      </c>
      <c r="B222" s="12" t="n">
        <v>60</v>
      </c>
      <c r="C222" s="12" t="s">
        <v>34</v>
      </c>
      <c r="D222" s="12" t="s">
        <v>69</v>
      </c>
      <c r="E222" s="12" t="s">
        <v>36</v>
      </c>
      <c r="F222" s="12" t="s">
        <v>37</v>
      </c>
      <c r="G222" s="12" t="s">
        <v>38</v>
      </c>
      <c r="H222" s="12" t="s">
        <v>46</v>
      </c>
      <c r="I222" s="12" t="n">
        <v>14</v>
      </c>
      <c r="J222" s="12" t="s">
        <v>40</v>
      </c>
      <c r="K222" s="12" t="s">
        <v>48</v>
      </c>
      <c r="L222" s="12" t="str">
        <f aca="false">IF(OR(H222="Severe",H222="Life-Threatening"),"Yes","No")</f>
        <v>No</v>
      </c>
      <c r="M222" s="12" t="str">
        <f aca="false">IF(B222&lt;18,"0-17",IF(B222&lt;40,"18-39",IF(B222&lt;60,"40-59","60+")))</f>
        <v>60+</v>
      </c>
      <c r="N222" s="12" t="str">
        <f aca="false">IF(I222&lt;=1,"0-1 days",IF(I222&lt;=7,"2-7 days",IF(I222&lt;=30,"8-30 days","&gt;30 days")))</f>
        <v>8-30 days</v>
      </c>
    </row>
    <row r="223" customFormat="false" ht="15" hidden="false" customHeight="false" outlineLevel="0" collapsed="false">
      <c r="A223" s="12" t="s">
        <v>445</v>
      </c>
      <c r="B223" s="12" t="n">
        <v>20</v>
      </c>
      <c r="C223" s="12" t="s">
        <v>34</v>
      </c>
      <c r="D223" s="12" t="s">
        <v>35</v>
      </c>
      <c r="E223" s="12" t="s">
        <v>332</v>
      </c>
      <c r="F223" s="12" t="s">
        <v>45</v>
      </c>
      <c r="G223" s="12" t="s">
        <v>38</v>
      </c>
      <c r="H223" s="12" t="s">
        <v>46</v>
      </c>
      <c r="I223" s="12" t="n">
        <v>28</v>
      </c>
      <c r="J223" s="12" t="s">
        <v>40</v>
      </c>
      <c r="K223" s="12" t="s">
        <v>63</v>
      </c>
      <c r="L223" s="12" t="str">
        <f aca="false">IF(OR(H223="Severe",H223="Life-Threatening"),"Yes","No")</f>
        <v>No</v>
      </c>
      <c r="M223" s="12" t="str">
        <f aca="false">IF(B223&lt;18,"0-17",IF(B223&lt;40,"18-39",IF(B223&lt;60,"40-59","60+")))</f>
        <v>18-39</v>
      </c>
      <c r="N223" s="12" t="str">
        <f aca="false">IF(I223&lt;=1,"0-1 days",IF(I223&lt;=7,"2-7 days",IF(I223&lt;=30,"8-30 days","&gt;30 days")))</f>
        <v>8-30 days</v>
      </c>
    </row>
    <row r="224" customFormat="false" ht="15" hidden="false" customHeight="false" outlineLevel="0" collapsed="false">
      <c r="A224" s="12" t="s">
        <v>446</v>
      </c>
      <c r="B224" s="12" t="n">
        <v>43</v>
      </c>
      <c r="C224" s="12" t="s">
        <v>43</v>
      </c>
      <c r="D224" s="12" t="s">
        <v>144</v>
      </c>
      <c r="E224" s="12" t="s">
        <v>70</v>
      </c>
      <c r="F224" s="12" t="s">
        <v>71</v>
      </c>
      <c r="G224" s="12" t="s">
        <v>72</v>
      </c>
      <c r="H224" s="12" t="s">
        <v>59</v>
      </c>
      <c r="I224" s="12" t="n">
        <v>1</v>
      </c>
      <c r="J224" s="12" t="s">
        <v>40</v>
      </c>
      <c r="K224" s="12" t="s">
        <v>48</v>
      </c>
      <c r="L224" s="12" t="str">
        <f aca="false">IF(OR(H224="Severe",H224="Life-Threatening"),"Yes","No")</f>
        <v>Yes</v>
      </c>
      <c r="M224" s="12" t="str">
        <f aca="false">IF(B224&lt;18,"0-17",IF(B224&lt;40,"18-39",IF(B224&lt;60,"40-59","60+")))</f>
        <v>40-59</v>
      </c>
      <c r="N224" s="12" t="str">
        <f aca="false">IF(I224&lt;=1,"0-1 days",IF(I224&lt;=7,"2-7 days",IF(I224&lt;=30,"8-30 days","&gt;30 days")))</f>
        <v>0-1 days</v>
      </c>
    </row>
    <row r="225" customFormat="false" ht="15" hidden="false" customHeight="false" outlineLevel="0" collapsed="false">
      <c r="A225" s="12" t="s">
        <v>447</v>
      </c>
      <c r="B225" s="12" t="n">
        <v>64</v>
      </c>
      <c r="C225" s="12" t="s">
        <v>43</v>
      </c>
      <c r="D225" s="12" t="s">
        <v>55</v>
      </c>
      <c r="E225" s="12" t="s">
        <v>241</v>
      </c>
      <c r="F225" s="12" t="s">
        <v>333</v>
      </c>
      <c r="G225" s="12" t="s">
        <v>104</v>
      </c>
      <c r="H225" s="12" t="s">
        <v>39</v>
      </c>
      <c r="I225" s="12" t="n">
        <v>14</v>
      </c>
      <c r="J225" s="12" t="s">
        <v>40</v>
      </c>
      <c r="K225" s="12" t="s">
        <v>48</v>
      </c>
      <c r="L225" s="12" t="str">
        <f aca="false">IF(OR(H225="Severe",H225="Life-Threatening"),"Yes","No")</f>
        <v>No</v>
      </c>
      <c r="M225" s="12" t="str">
        <f aca="false">IF(B225&lt;18,"0-17",IF(B225&lt;40,"18-39",IF(B225&lt;60,"40-59","60+")))</f>
        <v>60+</v>
      </c>
      <c r="N225" s="12" t="str">
        <f aca="false">IF(I225&lt;=1,"0-1 days",IF(I225&lt;=7,"2-7 days",IF(I225&lt;=30,"8-30 days","&gt;30 days")))</f>
        <v>8-30 days</v>
      </c>
    </row>
    <row r="226" customFormat="false" ht="15" hidden="false" customHeight="false" outlineLevel="0" collapsed="false">
      <c r="A226" s="12" t="s">
        <v>448</v>
      </c>
      <c r="B226" s="12" t="n">
        <v>60</v>
      </c>
      <c r="C226" s="12" t="s">
        <v>43</v>
      </c>
      <c r="D226" s="12" t="s">
        <v>55</v>
      </c>
      <c r="E226" s="12" t="s">
        <v>89</v>
      </c>
      <c r="F226" s="12" t="s">
        <v>37</v>
      </c>
      <c r="G226" s="12" t="s">
        <v>38</v>
      </c>
      <c r="H226" s="12" t="s">
        <v>46</v>
      </c>
      <c r="I226" s="12" t="n">
        <v>11</v>
      </c>
      <c r="J226" s="12" t="s">
        <v>40</v>
      </c>
      <c r="K226" s="12" t="s">
        <v>48</v>
      </c>
      <c r="L226" s="12" t="str">
        <f aca="false">IF(OR(H226="Severe",H226="Life-Threatening"),"Yes","No")</f>
        <v>No</v>
      </c>
      <c r="M226" s="12" t="str">
        <f aca="false">IF(B226&lt;18,"0-17",IF(B226&lt;40,"18-39",IF(B226&lt;60,"40-59","60+")))</f>
        <v>60+</v>
      </c>
      <c r="N226" s="12" t="str">
        <f aca="false">IF(I226&lt;=1,"0-1 days",IF(I226&lt;=7,"2-7 days",IF(I226&lt;=30,"8-30 days","&gt;30 days")))</f>
        <v>8-30 days</v>
      </c>
    </row>
    <row r="227" customFormat="false" ht="15" hidden="false" customHeight="false" outlineLevel="0" collapsed="false">
      <c r="A227" s="12" t="s">
        <v>449</v>
      </c>
      <c r="B227" s="12" t="n">
        <v>56</v>
      </c>
      <c r="C227" s="12" t="s">
        <v>34</v>
      </c>
      <c r="D227" s="12" t="s">
        <v>163</v>
      </c>
      <c r="E227" s="12" t="s">
        <v>36</v>
      </c>
      <c r="F227" s="12" t="s">
        <v>364</v>
      </c>
      <c r="G227" s="12" t="s">
        <v>38</v>
      </c>
      <c r="H227" s="12" t="s">
        <v>46</v>
      </c>
      <c r="I227" s="12" t="n">
        <v>19</v>
      </c>
      <c r="J227" s="12" t="s">
        <v>47</v>
      </c>
      <c r="K227" s="12" t="s">
        <v>48</v>
      </c>
      <c r="L227" s="12" t="str">
        <f aca="false">IF(OR(H227="Severe",H227="Life-Threatening"),"Yes","No")</f>
        <v>No</v>
      </c>
      <c r="M227" s="12" t="str">
        <f aca="false">IF(B227&lt;18,"0-17",IF(B227&lt;40,"18-39",IF(B227&lt;60,"40-59","60+")))</f>
        <v>40-59</v>
      </c>
      <c r="N227" s="12" t="str">
        <f aca="false">IF(I227&lt;=1,"0-1 days",IF(I227&lt;=7,"2-7 days",IF(I227&lt;=30,"8-30 days","&gt;30 days")))</f>
        <v>8-30 days</v>
      </c>
    </row>
    <row r="228" customFormat="false" ht="15" hidden="false" customHeight="false" outlineLevel="0" collapsed="false">
      <c r="A228" s="12" t="s">
        <v>450</v>
      </c>
      <c r="B228" s="12" t="n">
        <v>62</v>
      </c>
      <c r="C228" s="12" t="s">
        <v>43</v>
      </c>
      <c r="D228" s="12" t="s">
        <v>117</v>
      </c>
      <c r="E228" s="12" t="s">
        <v>183</v>
      </c>
      <c r="F228" s="12" t="s">
        <v>139</v>
      </c>
      <c r="G228" s="12" t="s">
        <v>38</v>
      </c>
      <c r="H228" s="12" t="s">
        <v>39</v>
      </c>
      <c r="I228" s="12" t="n">
        <v>2</v>
      </c>
      <c r="J228" s="12" t="s">
        <v>40</v>
      </c>
      <c r="K228" s="12" t="s">
        <v>48</v>
      </c>
      <c r="L228" s="12" t="str">
        <f aca="false">IF(OR(H228="Severe",H228="Life-Threatening"),"Yes","No")</f>
        <v>No</v>
      </c>
      <c r="M228" s="12" t="str">
        <f aca="false">IF(B228&lt;18,"0-17",IF(B228&lt;40,"18-39",IF(B228&lt;60,"40-59","60+")))</f>
        <v>60+</v>
      </c>
      <c r="N228" s="12" t="str">
        <f aca="false">IF(I228&lt;=1,"0-1 days",IF(I228&lt;=7,"2-7 days",IF(I228&lt;=30,"8-30 days","&gt;30 days")))</f>
        <v>2-7 days</v>
      </c>
    </row>
    <row r="229" customFormat="false" ht="15" hidden="false" customHeight="false" outlineLevel="0" collapsed="false">
      <c r="A229" s="12" t="s">
        <v>451</v>
      </c>
      <c r="B229" s="12" t="n">
        <v>78</v>
      </c>
      <c r="C229" s="12" t="s">
        <v>34</v>
      </c>
      <c r="D229" s="12" t="s">
        <v>196</v>
      </c>
      <c r="E229" s="12" t="s">
        <v>183</v>
      </c>
      <c r="F229" s="12" t="s">
        <v>325</v>
      </c>
      <c r="G229" s="12" t="s">
        <v>177</v>
      </c>
      <c r="H229" s="12" t="s">
        <v>76</v>
      </c>
      <c r="I229" s="12" t="n">
        <v>28</v>
      </c>
      <c r="J229" s="12" t="s">
        <v>40</v>
      </c>
      <c r="K229" s="12" t="s">
        <v>147</v>
      </c>
      <c r="L229" s="12" t="str">
        <f aca="false">IF(OR(H229="Severe",H229="Life-Threatening"),"Yes","No")</f>
        <v>Yes</v>
      </c>
      <c r="M229" s="12" t="str">
        <f aca="false">IF(B229&lt;18,"0-17",IF(B229&lt;40,"18-39",IF(B229&lt;60,"40-59","60+")))</f>
        <v>60+</v>
      </c>
      <c r="N229" s="12" t="str">
        <f aca="false">IF(I229&lt;=1,"0-1 days",IF(I229&lt;=7,"2-7 days",IF(I229&lt;=30,"8-30 days","&gt;30 days")))</f>
        <v>8-30 days</v>
      </c>
    </row>
    <row r="230" customFormat="false" ht="15" hidden="false" customHeight="false" outlineLevel="0" collapsed="false">
      <c r="A230" s="12" t="s">
        <v>452</v>
      </c>
      <c r="B230" s="12" t="n">
        <v>39</v>
      </c>
      <c r="C230" s="12" t="s">
        <v>43</v>
      </c>
      <c r="D230" s="12" t="s">
        <v>120</v>
      </c>
      <c r="E230" s="12" t="s">
        <v>107</v>
      </c>
      <c r="F230" s="12" t="s">
        <v>71</v>
      </c>
      <c r="G230" s="12" t="s">
        <v>72</v>
      </c>
      <c r="H230" s="12" t="s">
        <v>59</v>
      </c>
      <c r="I230" s="12" t="n">
        <v>1</v>
      </c>
      <c r="J230" s="12" t="s">
        <v>105</v>
      </c>
      <c r="K230" s="12" t="s">
        <v>63</v>
      </c>
      <c r="L230" s="12" t="str">
        <f aca="false">IF(OR(H230="Severe",H230="Life-Threatening"),"Yes","No")</f>
        <v>Yes</v>
      </c>
      <c r="M230" s="12" t="str">
        <f aca="false">IF(B230&lt;18,"0-17",IF(B230&lt;40,"18-39",IF(B230&lt;60,"40-59","60+")))</f>
        <v>18-39</v>
      </c>
      <c r="N230" s="12" t="str">
        <f aca="false">IF(I230&lt;=1,"0-1 days",IF(I230&lt;=7,"2-7 days",IF(I230&lt;=30,"8-30 days","&gt;30 days")))</f>
        <v>0-1 days</v>
      </c>
    </row>
    <row r="231" customFormat="false" ht="15" hidden="false" customHeight="false" outlineLevel="0" collapsed="false">
      <c r="A231" s="12" t="s">
        <v>453</v>
      </c>
      <c r="B231" s="12" t="n">
        <v>81</v>
      </c>
      <c r="C231" s="12" t="s">
        <v>34</v>
      </c>
      <c r="D231" s="12" t="s">
        <v>85</v>
      </c>
      <c r="E231" s="12" t="s">
        <v>454</v>
      </c>
      <c r="F231" s="12" t="s">
        <v>145</v>
      </c>
      <c r="G231" s="12" t="s">
        <v>146</v>
      </c>
      <c r="H231" s="12" t="s">
        <v>59</v>
      </c>
      <c r="I231" s="12" t="n">
        <v>12</v>
      </c>
      <c r="J231" s="12" t="s">
        <v>40</v>
      </c>
      <c r="K231" s="12" t="s">
        <v>63</v>
      </c>
      <c r="L231" s="12" t="str">
        <f aca="false">IF(OR(H231="Severe",H231="Life-Threatening"),"Yes","No")</f>
        <v>Yes</v>
      </c>
      <c r="M231" s="12" t="str">
        <f aca="false">IF(B231&lt;18,"0-17",IF(B231&lt;40,"18-39",IF(B231&lt;60,"40-59","60+")))</f>
        <v>60+</v>
      </c>
      <c r="N231" s="12" t="str">
        <f aca="false">IF(I231&lt;=1,"0-1 days",IF(I231&lt;=7,"2-7 days",IF(I231&lt;=30,"8-30 days","&gt;30 days")))</f>
        <v>8-30 days</v>
      </c>
    </row>
    <row r="232" customFormat="false" ht="15" hidden="false" customHeight="false" outlineLevel="0" collapsed="false">
      <c r="A232" s="12" t="s">
        <v>455</v>
      </c>
      <c r="B232" s="12" t="n">
        <v>17</v>
      </c>
      <c r="C232" s="12" t="s">
        <v>43</v>
      </c>
      <c r="D232" s="12" t="s">
        <v>69</v>
      </c>
      <c r="E232" s="12" t="s">
        <v>78</v>
      </c>
      <c r="F232" s="12" t="s">
        <v>79</v>
      </c>
      <c r="G232" s="12" t="s">
        <v>80</v>
      </c>
      <c r="H232" s="12" t="s">
        <v>39</v>
      </c>
      <c r="I232" s="12" t="n">
        <v>20</v>
      </c>
      <c r="J232" s="12" t="s">
        <v>47</v>
      </c>
      <c r="K232" s="12" t="s">
        <v>48</v>
      </c>
      <c r="L232" s="12" t="str">
        <f aca="false">IF(OR(H232="Severe",H232="Life-Threatening"),"Yes","No")</f>
        <v>No</v>
      </c>
      <c r="M232" s="12" t="str">
        <f aca="false">IF(B232&lt;18,"0-17",IF(B232&lt;40,"18-39",IF(B232&lt;60,"40-59","60+")))</f>
        <v>0-17</v>
      </c>
      <c r="N232" s="12" t="str">
        <f aca="false">IF(I232&lt;=1,"0-1 days",IF(I232&lt;=7,"2-7 days",IF(I232&lt;=30,"8-30 days","&gt;30 days")))</f>
        <v>8-30 days</v>
      </c>
    </row>
    <row r="233" customFormat="false" ht="15" hidden="false" customHeight="false" outlineLevel="0" collapsed="false">
      <c r="A233" s="12" t="s">
        <v>456</v>
      </c>
      <c r="B233" s="12" t="n">
        <v>2</v>
      </c>
      <c r="C233" s="12" t="s">
        <v>34</v>
      </c>
      <c r="D233" s="12" t="s">
        <v>245</v>
      </c>
      <c r="E233" s="12" t="s">
        <v>243</v>
      </c>
      <c r="F233" s="12" t="s">
        <v>45</v>
      </c>
      <c r="G233" s="12" t="s">
        <v>38</v>
      </c>
      <c r="H233" s="12" t="s">
        <v>46</v>
      </c>
      <c r="I233" s="12" t="n">
        <v>3</v>
      </c>
      <c r="J233" s="12" t="s">
        <v>47</v>
      </c>
      <c r="K233" s="12" t="s">
        <v>48</v>
      </c>
      <c r="L233" s="12" t="str">
        <f aca="false">IF(OR(H233="Severe",H233="Life-Threatening"),"Yes","No")</f>
        <v>No</v>
      </c>
      <c r="M233" s="12" t="str">
        <f aca="false">IF(B233&lt;18,"0-17",IF(B233&lt;40,"18-39",IF(B233&lt;60,"40-59","60+")))</f>
        <v>0-17</v>
      </c>
      <c r="N233" s="12" t="str">
        <f aca="false">IF(I233&lt;=1,"0-1 days",IF(I233&lt;=7,"2-7 days",IF(I233&lt;=30,"8-30 days","&gt;30 days")))</f>
        <v>2-7 days</v>
      </c>
    </row>
    <row r="234" customFormat="false" ht="15" hidden="false" customHeight="false" outlineLevel="0" collapsed="false">
      <c r="A234" s="12" t="s">
        <v>457</v>
      </c>
      <c r="B234" s="12" t="n">
        <v>70</v>
      </c>
      <c r="C234" s="12" t="s">
        <v>34</v>
      </c>
      <c r="D234" s="12" t="s">
        <v>35</v>
      </c>
      <c r="E234" s="12" t="s">
        <v>74</v>
      </c>
      <c r="F234" s="12" t="s">
        <v>75</v>
      </c>
      <c r="G234" s="12" t="s">
        <v>58</v>
      </c>
      <c r="H234" s="12" t="s">
        <v>59</v>
      </c>
      <c r="I234" s="12" t="n">
        <v>1</v>
      </c>
      <c r="J234" s="12" t="s">
        <v>67</v>
      </c>
      <c r="K234" s="12" t="s">
        <v>48</v>
      </c>
      <c r="L234" s="12" t="str">
        <f aca="false">IF(OR(H234="Severe",H234="Life-Threatening"),"Yes","No")</f>
        <v>Yes</v>
      </c>
      <c r="M234" s="12" t="str">
        <f aca="false">IF(B234&lt;18,"0-17",IF(B234&lt;40,"18-39",IF(B234&lt;60,"40-59","60+")))</f>
        <v>60+</v>
      </c>
      <c r="N234" s="12" t="str">
        <f aca="false">IF(I234&lt;=1,"0-1 days",IF(I234&lt;=7,"2-7 days",IF(I234&lt;=30,"8-30 days","&gt;30 days")))</f>
        <v>0-1 days</v>
      </c>
    </row>
    <row r="235" customFormat="false" ht="15" hidden="false" customHeight="false" outlineLevel="0" collapsed="false">
      <c r="A235" s="12" t="s">
        <v>458</v>
      </c>
      <c r="B235" s="12" t="n">
        <v>52</v>
      </c>
      <c r="C235" s="12" t="s">
        <v>43</v>
      </c>
      <c r="D235" s="12" t="s">
        <v>168</v>
      </c>
      <c r="E235" s="12" t="s">
        <v>107</v>
      </c>
      <c r="F235" s="12" t="s">
        <v>108</v>
      </c>
      <c r="G235" s="12" t="s">
        <v>38</v>
      </c>
      <c r="H235" s="12" t="s">
        <v>76</v>
      </c>
      <c r="I235" s="12" t="n">
        <v>22</v>
      </c>
      <c r="J235" s="12" t="s">
        <v>47</v>
      </c>
      <c r="K235" s="12" t="s">
        <v>63</v>
      </c>
      <c r="L235" s="12" t="str">
        <f aca="false">IF(OR(H235="Severe",H235="Life-Threatening"),"Yes","No")</f>
        <v>Yes</v>
      </c>
      <c r="M235" s="12" t="str">
        <f aca="false">IF(B235&lt;18,"0-17",IF(B235&lt;40,"18-39",IF(B235&lt;60,"40-59","60+")))</f>
        <v>40-59</v>
      </c>
      <c r="N235" s="12" t="str">
        <f aca="false">IF(I235&lt;=1,"0-1 days",IF(I235&lt;=7,"2-7 days",IF(I235&lt;=30,"8-30 days","&gt;30 days")))</f>
        <v>8-30 days</v>
      </c>
    </row>
    <row r="236" customFormat="false" ht="15" hidden="false" customHeight="false" outlineLevel="0" collapsed="false">
      <c r="A236" s="12" t="s">
        <v>459</v>
      </c>
      <c r="B236" s="12" t="n">
        <v>70</v>
      </c>
      <c r="C236" s="12" t="s">
        <v>34</v>
      </c>
      <c r="D236" s="12" t="s">
        <v>194</v>
      </c>
      <c r="E236" s="12" t="s">
        <v>113</v>
      </c>
      <c r="F236" s="12" t="s">
        <v>219</v>
      </c>
      <c r="G236" s="12" t="s">
        <v>53</v>
      </c>
      <c r="H236" s="12" t="s">
        <v>39</v>
      </c>
      <c r="I236" s="12" t="n">
        <v>1</v>
      </c>
      <c r="J236" s="12" t="s">
        <v>47</v>
      </c>
      <c r="K236" s="12" t="s">
        <v>63</v>
      </c>
      <c r="L236" s="12" t="str">
        <f aca="false">IF(OR(H236="Severe",H236="Life-Threatening"),"Yes","No")</f>
        <v>No</v>
      </c>
      <c r="M236" s="12" t="str">
        <f aca="false">IF(B236&lt;18,"0-17",IF(B236&lt;40,"18-39",IF(B236&lt;60,"40-59","60+")))</f>
        <v>60+</v>
      </c>
      <c r="N236" s="12" t="str">
        <f aca="false">IF(I236&lt;=1,"0-1 days",IF(I236&lt;=7,"2-7 days",IF(I236&lt;=30,"8-30 days","&gt;30 days")))</f>
        <v>0-1 days</v>
      </c>
    </row>
    <row r="237" customFormat="false" ht="15" hidden="false" customHeight="false" outlineLevel="0" collapsed="false">
      <c r="A237" s="12" t="s">
        <v>460</v>
      </c>
      <c r="B237" s="12" t="n">
        <v>51</v>
      </c>
      <c r="C237" s="12" t="s">
        <v>43</v>
      </c>
      <c r="D237" s="12" t="s">
        <v>35</v>
      </c>
      <c r="E237" s="12" t="s">
        <v>96</v>
      </c>
      <c r="F237" s="12" t="s">
        <v>62</v>
      </c>
      <c r="G237" s="12" t="s">
        <v>53</v>
      </c>
      <c r="H237" s="12" t="s">
        <v>76</v>
      </c>
      <c r="I237" s="12" t="n">
        <v>14</v>
      </c>
      <c r="J237" s="12" t="s">
        <v>40</v>
      </c>
      <c r="K237" s="12" t="s">
        <v>48</v>
      </c>
      <c r="L237" s="12" t="str">
        <f aca="false">IF(OR(H237="Severe",H237="Life-Threatening"),"Yes","No")</f>
        <v>Yes</v>
      </c>
      <c r="M237" s="12" t="str">
        <f aca="false">IF(B237&lt;18,"0-17",IF(B237&lt;40,"18-39",IF(B237&lt;60,"40-59","60+")))</f>
        <v>40-59</v>
      </c>
      <c r="N237" s="12" t="str">
        <f aca="false">IF(I237&lt;=1,"0-1 days",IF(I237&lt;=7,"2-7 days",IF(I237&lt;=30,"8-30 days","&gt;30 days")))</f>
        <v>8-30 days</v>
      </c>
    </row>
    <row r="238" customFormat="false" ht="15" hidden="false" customHeight="false" outlineLevel="0" collapsed="false">
      <c r="A238" s="12" t="s">
        <v>461</v>
      </c>
      <c r="B238" s="12" t="n">
        <v>91</v>
      </c>
      <c r="C238" s="12" t="s">
        <v>34</v>
      </c>
      <c r="D238" s="12" t="s">
        <v>55</v>
      </c>
      <c r="E238" s="12" t="s">
        <v>227</v>
      </c>
      <c r="F238" s="12" t="s">
        <v>214</v>
      </c>
      <c r="G238" s="12" t="s">
        <v>115</v>
      </c>
      <c r="H238" s="12" t="s">
        <v>46</v>
      </c>
      <c r="I238" s="12" t="n">
        <v>28</v>
      </c>
      <c r="J238" s="12" t="s">
        <v>40</v>
      </c>
      <c r="K238" s="12" t="s">
        <v>63</v>
      </c>
      <c r="L238" s="12" t="str">
        <f aca="false">IF(OR(H238="Severe",H238="Life-Threatening"),"Yes","No")</f>
        <v>No</v>
      </c>
      <c r="M238" s="12" t="str">
        <f aca="false">IF(B238&lt;18,"0-17",IF(B238&lt;40,"18-39",IF(B238&lt;60,"40-59","60+")))</f>
        <v>60+</v>
      </c>
      <c r="N238" s="12" t="str">
        <f aca="false">IF(I238&lt;=1,"0-1 days",IF(I238&lt;=7,"2-7 days",IF(I238&lt;=30,"8-30 days","&gt;30 days")))</f>
        <v>8-30 days</v>
      </c>
    </row>
    <row r="239" customFormat="false" ht="15" hidden="false" customHeight="false" outlineLevel="0" collapsed="false">
      <c r="A239" s="12" t="s">
        <v>462</v>
      </c>
      <c r="B239" s="12" t="n">
        <v>1</v>
      </c>
      <c r="C239" s="12" t="s">
        <v>34</v>
      </c>
      <c r="D239" s="12" t="s">
        <v>168</v>
      </c>
      <c r="E239" s="12" t="s">
        <v>74</v>
      </c>
      <c r="F239" s="12" t="s">
        <v>139</v>
      </c>
      <c r="G239" s="12" t="s">
        <v>38</v>
      </c>
      <c r="H239" s="12" t="s">
        <v>46</v>
      </c>
      <c r="I239" s="12" t="n">
        <v>4</v>
      </c>
      <c r="J239" s="12" t="s">
        <v>40</v>
      </c>
      <c r="K239" s="12" t="s">
        <v>147</v>
      </c>
      <c r="L239" s="12" t="str">
        <f aca="false">IF(OR(H239="Severe",H239="Life-Threatening"),"Yes","No")</f>
        <v>No</v>
      </c>
      <c r="M239" s="12" t="str">
        <f aca="false">IF(B239&lt;18,"0-17",IF(B239&lt;40,"18-39",IF(B239&lt;60,"40-59","60+")))</f>
        <v>0-17</v>
      </c>
      <c r="N239" s="12" t="str">
        <f aca="false">IF(I239&lt;=1,"0-1 days",IF(I239&lt;=7,"2-7 days",IF(I239&lt;=30,"8-30 days","&gt;30 days")))</f>
        <v>2-7 days</v>
      </c>
    </row>
    <row r="240" customFormat="false" ht="15" hidden="false" customHeight="false" outlineLevel="0" collapsed="false">
      <c r="A240" s="12" t="s">
        <v>463</v>
      </c>
      <c r="B240" s="12" t="n">
        <v>55</v>
      </c>
      <c r="C240" s="12" t="s">
        <v>43</v>
      </c>
      <c r="D240" s="12" t="s">
        <v>194</v>
      </c>
      <c r="E240" s="12" t="s">
        <v>412</v>
      </c>
      <c r="F240" s="12" t="s">
        <v>214</v>
      </c>
      <c r="G240" s="12" t="s">
        <v>115</v>
      </c>
      <c r="H240" s="12" t="s">
        <v>46</v>
      </c>
      <c r="I240" s="12" t="n">
        <v>3</v>
      </c>
      <c r="J240" s="12" t="s">
        <v>40</v>
      </c>
      <c r="K240" s="12" t="s">
        <v>63</v>
      </c>
      <c r="L240" s="12" t="str">
        <f aca="false">IF(OR(H240="Severe",H240="Life-Threatening"),"Yes","No")</f>
        <v>No</v>
      </c>
      <c r="M240" s="12" t="str">
        <f aca="false">IF(B240&lt;18,"0-17",IF(B240&lt;40,"18-39",IF(B240&lt;60,"40-59","60+")))</f>
        <v>40-59</v>
      </c>
      <c r="N240" s="12" t="str">
        <f aca="false">IF(I240&lt;=1,"0-1 days",IF(I240&lt;=7,"2-7 days",IF(I240&lt;=30,"8-30 days","&gt;30 days")))</f>
        <v>2-7 days</v>
      </c>
    </row>
    <row r="241" customFormat="false" ht="15" hidden="false" customHeight="false" outlineLevel="0" collapsed="false">
      <c r="A241" s="12" t="s">
        <v>464</v>
      </c>
      <c r="B241" s="12" t="n">
        <v>70</v>
      </c>
      <c r="C241" s="12" t="s">
        <v>34</v>
      </c>
      <c r="D241" s="12" t="s">
        <v>69</v>
      </c>
      <c r="E241" s="12" t="s">
        <v>78</v>
      </c>
      <c r="F241" s="12" t="s">
        <v>79</v>
      </c>
      <c r="G241" s="12" t="s">
        <v>80</v>
      </c>
      <c r="H241" s="12" t="s">
        <v>76</v>
      </c>
      <c r="I241" s="12" t="n">
        <v>1</v>
      </c>
      <c r="J241" s="12" t="s">
        <v>47</v>
      </c>
      <c r="K241" s="12" t="s">
        <v>63</v>
      </c>
      <c r="L241" s="12" t="str">
        <f aca="false">IF(OR(H241="Severe",H241="Life-Threatening"),"Yes","No")</f>
        <v>Yes</v>
      </c>
      <c r="M241" s="12" t="str">
        <f aca="false">IF(B241&lt;18,"0-17",IF(B241&lt;40,"18-39",IF(B241&lt;60,"40-59","60+")))</f>
        <v>60+</v>
      </c>
      <c r="N241" s="12" t="str">
        <f aca="false">IF(I241&lt;=1,"0-1 days",IF(I241&lt;=7,"2-7 days",IF(I241&lt;=30,"8-30 days","&gt;30 days")))</f>
        <v>0-1 days</v>
      </c>
    </row>
    <row r="242" customFormat="false" ht="15" hidden="false" customHeight="false" outlineLevel="0" collapsed="false">
      <c r="A242" s="12" t="s">
        <v>465</v>
      </c>
      <c r="B242" s="12" t="n">
        <v>27</v>
      </c>
      <c r="C242" s="12" t="s">
        <v>34</v>
      </c>
      <c r="D242" s="12" t="s">
        <v>196</v>
      </c>
      <c r="E242" s="12" t="s">
        <v>311</v>
      </c>
      <c r="F242" s="12" t="s">
        <v>249</v>
      </c>
      <c r="G242" s="12" t="s">
        <v>152</v>
      </c>
      <c r="H242" s="12" t="s">
        <v>46</v>
      </c>
      <c r="I242" s="12" t="n">
        <v>17</v>
      </c>
      <c r="J242" s="12" t="s">
        <v>47</v>
      </c>
      <c r="K242" s="12" t="s">
        <v>41</v>
      </c>
      <c r="L242" s="12" t="str">
        <f aca="false">IF(OR(H242="Severe",H242="Life-Threatening"),"Yes","No")</f>
        <v>No</v>
      </c>
      <c r="M242" s="12" t="str">
        <f aca="false">IF(B242&lt;18,"0-17",IF(B242&lt;40,"18-39",IF(B242&lt;60,"40-59","60+")))</f>
        <v>18-39</v>
      </c>
      <c r="N242" s="12" t="str">
        <f aca="false">IF(I242&lt;=1,"0-1 days",IF(I242&lt;=7,"2-7 days",IF(I242&lt;=30,"8-30 days","&gt;30 days")))</f>
        <v>8-30 days</v>
      </c>
    </row>
    <row r="243" customFormat="false" ht="15" hidden="false" customHeight="false" outlineLevel="0" collapsed="false">
      <c r="A243" s="12" t="s">
        <v>466</v>
      </c>
      <c r="B243" s="12" t="n">
        <v>50</v>
      </c>
      <c r="C243" s="12" t="s">
        <v>43</v>
      </c>
      <c r="D243" s="12" t="s">
        <v>168</v>
      </c>
      <c r="E243" s="12" t="s">
        <v>200</v>
      </c>
      <c r="F243" s="12" t="s">
        <v>403</v>
      </c>
      <c r="G243" s="12" t="s">
        <v>80</v>
      </c>
      <c r="H243" s="12" t="s">
        <v>76</v>
      </c>
      <c r="I243" s="12" t="n">
        <v>2</v>
      </c>
      <c r="J243" s="12" t="s">
        <v>169</v>
      </c>
      <c r="K243" s="12" t="s">
        <v>48</v>
      </c>
      <c r="L243" s="12" t="str">
        <f aca="false">IF(OR(H243="Severe",H243="Life-Threatening"),"Yes","No")</f>
        <v>Yes</v>
      </c>
      <c r="M243" s="12" t="str">
        <f aca="false">IF(B243&lt;18,"0-17",IF(B243&lt;40,"18-39",IF(B243&lt;60,"40-59","60+")))</f>
        <v>40-59</v>
      </c>
      <c r="N243" s="12" t="str">
        <f aca="false">IF(I243&lt;=1,"0-1 days",IF(I243&lt;=7,"2-7 days",IF(I243&lt;=30,"8-30 days","&gt;30 days")))</f>
        <v>2-7 days</v>
      </c>
    </row>
    <row r="244" customFormat="false" ht="15" hidden="false" customHeight="false" outlineLevel="0" collapsed="false">
      <c r="A244" s="12" t="s">
        <v>467</v>
      </c>
      <c r="B244" s="12" t="n">
        <v>62</v>
      </c>
      <c r="C244" s="12" t="s">
        <v>43</v>
      </c>
      <c r="D244" s="12" t="s">
        <v>190</v>
      </c>
      <c r="E244" s="12" t="s">
        <v>301</v>
      </c>
      <c r="F244" s="12" t="s">
        <v>103</v>
      </c>
      <c r="G244" s="12" t="s">
        <v>104</v>
      </c>
      <c r="H244" s="12" t="s">
        <v>76</v>
      </c>
      <c r="I244" s="12" t="n">
        <v>9</v>
      </c>
      <c r="J244" s="12" t="s">
        <v>47</v>
      </c>
      <c r="K244" s="12" t="s">
        <v>63</v>
      </c>
      <c r="L244" s="12" t="str">
        <f aca="false">IF(OR(H244="Severe",H244="Life-Threatening"),"Yes","No")</f>
        <v>Yes</v>
      </c>
      <c r="M244" s="12" t="str">
        <f aca="false">IF(B244&lt;18,"0-17",IF(B244&lt;40,"18-39",IF(B244&lt;60,"40-59","60+")))</f>
        <v>60+</v>
      </c>
      <c r="N244" s="12" t="str">
        <f aca="false">IF(I244&lt;=1,"0-1 days",IF(I244&lt;=7,"2-7 days",IF(I244&lt;=30,"8-30 days","&gt;30 days")))</f>
        <v>8-30 days</v>
      </c>
    </row>
    <row r="245" customFormat="false" ht="15" hidden="false" customHeight="false" outlineLevel="0" collapsed="false">
      <c r="A245" s="12" t="s">
        <v>468</v>
      </c>
      <c r="B245" s="12" t="n">
        <v>51</v>
      </c>
      <c r="C245" s="12" t="s">
        <v>43</v>
      </c>
      <c r="D245" s="12" t="s">
        <v>112</v>
      </c>
      <c r="E245" s="12" t="s">
        <v>89</v>
      </c>
      <c r="F245" s="12" t="s">
        <v>364</v>
      </c>
      <c r="G245" s="12" t="s">
        <v>38</v>
      </c>
      <c r="H245" s="12" t="s">
        <v>76</v>
      </c>
      <c r="I245" s="12" t="n">
        <v>15</v>
      </c>
      <c r="J245" s="12" t="s">
        <v>47</v>
      </c>
      <c r="K245" s="12" t="s">
        <v>41</v>
      </c>
      <c r="L245" s="12" t="str">
        <f aca="false">IF(OR(H245="Severe",H245="Life-Threatening"),"Yes","No")</f>
        <v>Yes</v>
      </c>
      <c r="M245" s="12" t="str">
        <f aca="false">IF(B245&lt;18,"0-17",IF(B245&lt;40,"18-39",IF(B245&lt;60,"40-59","60+")))</f>
        <v>40-59</v>
      </c>
      <c r="N245" s="12" t="str">
        <f aca="false">IF(I245&lt;=1,"0-1 days",IF(I245&lt;=7,"2-7 days",IF(I245&lt;=30,"8-30 days","&gt;30 days")))</f>
        <v>8-30 days</v>
      </c>
    </row>
    <row r="246" customFormat="false" ht="15" hidden="false" customHeight="false" outlineLevel="0" collapsed="false">
      <c r="A246" s="12" t="s">
        <v>469</v>
      </c>
      <c r="B246" s="12" t="n">
        <v>31</v>
      </c>
      <c r="C246" s="12" t="s">
        <v>43</v>
      </c>
      <c r="D246" s="12" t="s">
        <v>155</v>
      </c>
      <c r="E246" s="12" t="s">
        <v>74</v>
      </c>
      <c r="F246" s="12" t="s">
        <v>139</v>
      </c>
      <c r="G246" s="12" t="s">
        <v>38</v>
      </c>
      <c r="H246" s="12" t="s">
        <v>46</v>
      </c>
      <c r="I246" s="12" t="n">
        <v>11</v>
      </c>
      <c r="J246" s="12" t="s">
        <v>40</v>
      </c>
      <c r="K246" s="12" t="s">
        <v>48</v>
      </c>
      <c r="L246" s="12" t="str">
        <f aca="false">IF(OR(H246="Severe",H246="Life-Threatening"),"Yes","No")</f>
        <v>No</v>
      </c>
      <c r="M246" s="12" t="str">
        <f aca="false">IF(B246&lt;18,"0-17",IF(B246&lt;40,"18-39",IF(B246&lt;60,"40-59","60+")))</f>
        <v>18-39</v>
      </c>
      <c r="N246" s="12" t="str">
        <f aca="false">IF(I246&lt;=1,"0-1 days",IF(I246&lt;=7,"2-7 days",IF(I246&lt;=30,"8-30 days","&gt;30 days")))</f>
        <v>8-30 days</v>
      </c>
    </row>
    <row r="247" customFormat="false" ht="15" hidden="false" customHeight="false" outlineLevel="0" collapsed="false">
      <c r="A247" s="12" t="s">
        <v>470</v>
      </c>
      <c r="B247" s="12" t="n">
        <v>52</v>
      </c>
      <c r="C247" s="12" t="s">
        <v>43</v>
      </c>
      <c r="D247" s="12" t="s">
        <v>35</v>
      </c>
      <c r="E247" s="12" t="s">
        <v>61</v>
      </c>
      <c r="F247" s="12" t="s">
        <v>62</v>
      </c>
      <c r="G247" s="12" t="s">
        <v>53</v>
      </c>
      <c r="H247" s="12" t="s">
        <v>46</v>
      </c>
      <c r="I247" s="12" t="n">
        <v>14</v>
      </c>
      <c r="J247" s="12" t="s">
        <v>40</v>
      </c>
      <c r="K247" s="12" t="s">
        <v>48</v>
      </c>
      <c r="L247" s="12" t="str">
        <f aca="false">IF(OR(H247="Severe",H247="Life-Threatening"),"Yes","No")</f>
        <v>No</v>
      </c>
      <c r="M247" s="12" t="str">
        <f aca="false">IF(B247&lt;18,"0-17",IF(B247&lt;40,"18-39",IF(B247&lt;60,"40-59","60+")))</f>
        <v>40-59</v>
      </c>
      <c r="N247" s="12" t="str">
        <f aca="false">IF(I247&lt;=1,"0-1 days",IF(I247&lt;=7,"2-7 days",IF(I247&lt;=30,"8-30 days","&gt;30 days")))</f>
        <v>8-30 days</v>
      </c>
    </row>
    <row r="248" customFormat="false" ht="15" hidden="false" customHeight="false" outlineLevel="0" collapsed="false">
      <c r="A248" s="12" t="s">
        <v>471</v>
      </c>
      <c r="B248" s="12" t="n">
        <v>40</v>
      </c>
      <c r="C248" s="12" t="s">
        <v>43</v>
      </c>
      <c r="D248" s="12" t="s">
        <v>35</v>
      </c>
      <c r="E248" s="12" t="s">
        <v>173</v>
      </c>
      <c r="F248" s="12" t="s">
        <v>214</v>
      </c>
      <c r="G248" s="12" t="s">
        <v>115</v>
      </c>
      <c r="H248" s="12" t="s">
        <v>46</v>
      </c>
      <c r="I248" s="12" t="n">
        <v>4</v>
      </c>
      <c r="J248" s="12" t="s">
        <v>47</v>
      </c>
      <c r="K248" s="12" t="s">
        <v>48</v>
      </c>
      <c r="L248" s="12" t="str">
        <f aca="false">IF(OR(H248="Severe",H248="Life-Threatening"),"Yes","No")</f>
        <v>No</v>
      </c>
      <c r="M248" s="12" t="str">
        <f aca="false">IF(B248&lt;18,"0-17",IF(B248&lt;40,"18-39",IF(B248&lt;60,"40-59","60+")))</f>
        <v>40-59</v>
      </c>
      <c r="N248" s="12" t="str">
        <f aca="false">IF(I248&lt;=1,"0-1 days",IF(I248&lt;=7,"2-7 days",IF(I248&lt;=30,"8-30 days","&gt;30 days")))</f>
        <v>2-7 days</v>
      </c>
    </row>
    <row r="249" customFormat="false" ht="15" hidden="false" customHeight="false" outlineLevel="0" collapsed="false">
      <c r="A249" s="12" t="s">
        <v>472</v>
      </c>
      <c r="B249" s="12" t="n">
        <v>48</v>
      </c>
      <c r="C249" s="12" t="s">
        <v>43</v>
      </c>
      <c r="D249" s="12" t="s">
        <v>55</v>
      </c>
      <c r="E249" s="12" t="s">
        <v>107</v>
      </c>
      <c r="F249" s="12" t="s">
        <v>108</v>
      </c>
      <c r="G249" s="12" t="s">
        <v>38</v>
      </c>
      <c r="H249" s="12" t="s">
        <v>59</v>
      </c>
      <c r="I249" s="12" t="n">
        <v>23</v>
      </c>
      <c r="J249" s="12" t="s">
        <v>105</v>
      </c>
      <c r="K249" s="12" t="s">
        <v>48</v>
      </c>
      <c r="L249" s="12" t="str">
        <f aca="false">IF(OR(H249="Severe",H249="Life-Threatening"),"Yes","No")</f>
        <v>Yes</v>
      </c>
      <c r="M249" s="12" t="str">
        <f aca="false">IF(B249&lt;18,"0-17",IF(B249&lt;40,"18-39",IF(B249&lt;60,"40-59","60+")))</f>
        <v>40-59</v>
      </c>
      <c r="N249" s="12" t="str">
        <f aca="false">IF(I249&lt;=1,"0-1 days",IF(I249&lt;=7,"2-7 days",IF(I249&lt;=30,"8-30 days","&gt;30 days")))</f>
        <v>8-30 days</v>
      </c>
    </row>
    <row r="250" customFormat="false" ht="15" hidden="false" customHeight="false" outlineLevel="0" collapsed="false">
      <c r="A250" s="12" t="s">
        <v>473</v>
      </c>
      <c r="B250" s="12" t="n">
        <v>29</v>
      </c>
      <c r="C250" s="12" t="s">
        <v>43</v>
      </c>
      <c r="D250" s="12" t="s">
        <v>474</v>
      </c>
      <c r="E250" s="12" t="s">
        <v>121</v>
      </c>
      <c r="F250" s="12" t="s">
        <v>45</v>
      </c>
      <c r="G250" s="12" t="s">
        <v>38</v>
      </c>
      <c r="H250" s="12" t="s">
        <v>39</v>
      </c>
      <c r="I250" s="12" t="n">
        <v>2</v>
      </c>
      <c r="J250" s="12" t="s">
        <v>40</v>
      </c>
      <c r="K250" s="12" t="s">
        <v>41</v>
      </c>
      <c r="L250" s="12" t="str">
        <f aca="false">IF(OR(H250="Severe",H250="Life-Threatening"),"Yes","No")</f>
        <v>No</v>
      </c>
      <c r="M250" s="12" t="str">
        <f aca="false">IF(B250&lt;18,"0-17",IF(B250&lt;40,"18-39",IF(B250&lt;60,"40-59","60+")))</f>
        <v>18-39</v>
      </c>
      <c r="N250" s="12" t="str">
        <f aca="false">IF(I250&lt;=1,"0-1 days",IF(I250&lt;=7,"2-7 days",IF(I250&lt;=30,"8-30 days","&gt;30 days")))</f>
        <v>2-7 days</v>
      </c>
    </row>
    <row r="251" customFormat="false" ht="15" hidden="false" customHeight="false" outlineLevel="0" collapsed="false">
      <c r="A251" s="12" t="s">
        <v>475</v>
      </c>
      <c r="B251" s="12" t="n">
        <v>29</v>
      </c>
      <c r="C251" s="12" t="s">
        <v>43</v>
      </c>
      <c r="D251" s="12" t="s">
        <v>194</v>
      </c>
      <c r="E251" s="12" t="s">
        <v>261</v>
      </c>
      <c r="F251" s="12" t="s">
        <v>221</v>
      </c>
      <c r="G251" s="12" t="s">
        <v>94</v>
      </c>
      <c r="H251" s="12" t="s">
        <v>39</v>
      </c>
      <c r="I251" s="12" t="n">
        <v>0</v>
      </c>
      <c r="J251" s="12" t="s">
        <v>40</v>
      </c>
      <c r="K251" s="12" t="s">
        <v>41</v>
      </c>
      <c r="L251" s="12" t="str">
        <f aca="false">IF(OR(H251="Severe",H251="Life-Threatening"),"Yes","No")</f>
        <v>No</v>
      </c>
      <c r="M251" s="12" t="str">
        <f aca="false">IF(B251&lt;18,"0-17",IF(B251&lt;40,"18-39",IF(B251&lt;60,"40-59","60+")))</f>
        <v>18-39</v>
      </c>
      <c r="N251" s="12" t="str">
        <f aca="false">IF(I251&lt;=1,"0-1 days",IF(I251&lt;=7,"2-7 days",IF(I251&lt;=30,"8-30 days","&gt;30 days")))</f>
        <v>0-1 days</v>
      </c>
    </row>
    <row r="252" customFormat="false" ht="15" hidden="false" customHeight="false" outlineLevel="0" collapsed="false">
      <c r="A252" s="12" t="s">
        <v>476</v>
      </c>
      <c r="B252" s="12" t="n">
        <v>44</v>
      </c>
      <c r="C252" s="12" t="s">
        <v>43</v>
      </c>
      <c r="D252" s="12" t="s">
        <v>35</v>
      </c>
      <c r="E252" s="12" t="s">
        <v>229</v>
      </c>
      <c r="F252" s="12" t="s">
        <v>214</v>
      </c>
      <c r="G252" s="12" t="s">
        <v>115</v>
      </c>
      <c r="H252" s="12" t="s">
        <v>39</v>
      </c>
      <c r="I252" s="12" t="n">
        <v>28</v>
      </c>
      <c r="J252" s="12" t="s">
        <v>47</v>
      </c>
      <c r="K252" s="12" t="s">
        <v>48</v>
      </c>
      <c r="L252" s="12" t="str">
        <f aca="false">IF(OR(H252="Severe",H252="Life-Threatening"),"Yes","No")</f>
        <v>No</v>
      </c>
      <c r="M252" s="12" t="str">
        <f aca="false">IF(B252&lt;18,"0-17",IF(B252&lt;40,"18-39",IF(B252&lt;60,"40-59","60+")))</f>
        <v>40-59</v>
      </c>
      <c r="N252" s="12" t="str">
        <f aca="false">IF(I252&lt;=1,"0-1 days",IF(I252&lt;=7,"2-7 days",IF(I252&lt;=30,"8-30 days","&gt;30 days")))</f>
        <v>8-30 days</v>
      </c>
    </row>
    <row r="253" customFormat="false" ht="15" hidden="false" customHeight="false" outlineLevel="0" collapsed="false">
      <c r="A253" s="12" t="s">
        <v>477</v>
      </c>
      <c r="B253" s="12" t="n">
        <v>55</v>
      </c>
      <c r="C253" s="12" t="s">
        <v>34</v>
      </c>
      <c r="D253" s="12" t="s">
        <v>163</v>
      </c>
      <c r="E253" s="12" t="s">
        <v>454</v>
      </c>
      <c r="F253" s="12" t="s">
        <v>52</v>
      </c>
      <c r="G253" s="12" t="s">
        <v>53</v>
      </c>
      <c r="H253" s="12" t="s">
        <v>76</v>
      </c>
      <c r="I253" s="12" t="n">
        <v>27</v>
      </c>
      <c r="J253" s="12" t="s">
        <v>40</v>
      </c>
      <c r="K253" s="12" t="s">
        <v>63</v>
      </c>
      <c r="L253" s="12" t="str">
        <f aca="false">IF(OR(H253="Severe",H253="Life-Threatening"),"Yes","No")</f>
        <v>Yes</v>
      </c>
      <c r="M253" s="12" t="str">
        <f aca="false">IF(B253&lt;18,"0-17",IF(B253&lt;40,"18-39",IF(B253&lt;60,"40-59","60+")))</f>
        <v>40-59</v>
      </c>
      <c r="N253" s="12" t="str">
        <f aca="false">IF(I253&lt;=1,"0-1 days",IF(I253&lt;=7,"2-7 days",IF(I253&lt;=30,"8-30 days","&gt;30 days")))</f>
        <v>8-30 days</v>
      </c>
    </row>
    <row r="254" customFormat="false" ht="15" hidden="false" customHeight="false" outlineLevel="0" collapsed="false">
      <c r="A254" s="12" t="s">
        <v>478</v>
      </c>
      <c r="B254" s="12" t="n">
        <v>8</v>
      </c>
      <c r="C254" s="12" t="s">
        <v>34</v>
      </c>
      <c r="D254" s="12" t="s">
        <v>155</v>
      </c>
      <c r="E254" s="12" t="s">
        <v>86</v>
      </c>
      <c r="F254" s="12" t="s">
        <v>103</v>
      </c>
      <c r="G254" s="12" t="s">
        <v>104</v>
      </c>
      <c r="H254" s="12" t="s">
        <v>76</v>
      </c>
      <c r="I254" s="12" t="n">
        <v>24</v>
      </c>
      <c r="J254" s="12" t="s">
        <v>105</v>
      </c>
      <c r="K254" s="12" t="s">
        <v>41</v>
      </c>
      <c r="L254" s="12" t="str">
        <f aca="false">IF(OR(H254="Severe",H254="Life-Threatening"),"Yes","No")</f>
        <v>Yes</v>
      </c>
      <c r="M254" s="12" t="str">
        <f aca="false">IF(B254&lt;18,"0-17",IF(B254&lt;40,"18-39",IF(B254&lt;60,"40-59","60+")))</f>
        <v>0-17</v>
      </c>
      <c r="N254" s="12" t="str">
        <f aca="false">IF(I254&lt;=1,"0-1 days",IF(I254&lt;=7,"2-7 days",IF(I254&lt;=30,"8-30 days","&gt;30 days")))</f>
        <v>8-30 days</v>
      </c>
    </row>
    <row r="255" customFormat="false" ht="15" hidden="false" customHeight="false" outlineLevel="0" collapsed="false">
      <c r="A255" s="12" t="s">
        <v>479</v>
      </c>
      <c r="B255" s="12" t="n">
        <v>57</v>
      </c>
      <c r="C255" s="12" t="s">
        <v>34</v>
      </c>
      <c r="D255" s="12" t="s">
        <v>155</v>
      </c>
      <c r="E255" s="12" t="s">
        <v>200</v>
      </c>
      <c r="F255" s="12" t="s">
        <v>79</v>
      </c>
      <c r="G255" s="12" t="s">
        <v>80</v>
      </c>
      <c r="H255" s="12" t="s">
        <v>76</v>
      </c>
      <c r="I255" s="12" t="n">
        <v>25</v>
      </c>
      <c r="J255" s="12" t="s">
        <v>67</v>
      </c>
      <c r="K255" s="12" t="s">
        <v>48</v>
      </c>
      <c r="L255" s="12" t="str">
        <f aca="false">IF(OR(H255="Severe",H255="Life-Threatening"),"Yes","No")</f>
        <v>Yes</v>
      </c>
      <c r="M255" s="12" t="str">
        <f aca="false">IF(B255&lt;18,"0-17",IF(B255&lt;40,"18-39",IF(B255&lt;60,"40-59","60+")))</f>
        <v>40-59</v>
      </c>
      <c r="N255" s="12" t="str">
        <f aca="false">IF(I255&lt;=1,"0-1 days",IF(I255&lt;=7,"2-7 days",IF(I255&lt;=30,"8-30 days","&gt;30 days")))</f>
        <v>8-30 days</v>
      </c>
    </row>
    <row r="256" customFormat="false" ht="15" hidden="false" customHeight="false" outlineLevel="0" collapsed="false">
      <c r="A256" s="12" t="s">
        <v>480</v>
      </c>
      <c r="B256" s="12" t="n">
        <v>58</v>
      </c>
      <c r="C256" s="12" t="s">
        <v>43</v>
      </c>
      <c r="D256" s="12" t="s">
        <v>50</v>
      </c>
      <c r="E256" s="12" t="s">
        <v>268</v>
      </c>
      <c r="F256" s="12" t="s">
        <v>364</v>
      </c>
      <c r="G256" s="12" t="s">
        <v>38</v>
      </c>
      <c r="H256" s="12" t="s">
        <v>59</v>
      </c>
      <c r="I256" s="12" t="n">
        <v>9</v>
      </c>
      <c r="J256" s="12" t="s">
        <v>105</v>
      </c>
      <c r="K256" s="12" t="s">
        <v>147</v>
      </c>
      <c r="L256" s="12" t="str">
        <f aca="false">IF(OR(H256="Severe",H256="Life-Threatening"),"Yes","No")</f>
        <v>Yes</v>
      </c>
      <c r="M256" s="12" t="str">
        <f aca="false">IF(B256&lt;18,"0-17",IF(B256&lt;40,"18-39",IF(B256&lt;60,"40-59","60+")))</f>
        <v>40-59</v>
      </c>
      <c r="N256" s="12" t="str">
        <f aca="false">IF(I256&lt;=1,"0-1 days",IF(I256&lt;=7,"2-7 days",IF(I256&lt;=30,"8-30 days","&gt;30 days")))</f>
        <v>8-30 days</v>
      </c>
    </row>
    <row r="257" customFormat="false" ht="15" hidden="false" customHeight="false" outlineLevel="0" collapsed="false">
      <c r="A257" s="12" t="s">
        <v>481</v>
      </c>
      <c r="B257" s="12" t="n">
        <v>39</v>
      </c>
      <c r="C257" s="12" t="s">
        <v>34</v>
      </c>
      <c r="D257" s="12" t="s">
        <v>117</v>
      </c>
      <c r="E257" s="12" t="s">
        <v>188</v>
      </c>
      <c r="F257" s="12" t="s">
        <v>79</v>
      </c>
      <c r="G257" s="12" t="s">
        <v>80</v>
      </c>
      <c r="H257" s="12" t="s">
        <v>76</v>
      </c>
      <c r="I257" s="12" t="n">
        <v>10</v>
      </c>
      <c r="J257" s="12" t="s">
        <v>47</v>
      </c>
      <c r="K257" s="12" t="s">
        <v>63</v>
      </c>
      <c r="L257" s="12" t="str">
        <f aca="false">IF(OR(H257="Severe",H257="Life-Threatening"),"Yes","No")</f>
        <v>Yes</v>
      </c>
      <c r="M257" s="12" t="str">
        <f aca="false">IF(B257&lt;18,"0-17",IF(B257&lt;40,"18-39",IF(B257&lt;60,"40-59","60+")))</f>
        <v>18-39</v>
      </c>
      <c r="N257" s="12" t="str">
        <f aca="false">IF(I257&lt;=1,"0-1 days",IF(I257&lt;=7,"2-7 days",IF(I257&lt;=30,"8-30 days","&gt;30 days")))</f>
        <v>8-30 days</v>
      </c>
    </row>
    <row r="258" customFormat="false" ht="15" hidden="false" customHeight="false" outlineLevel="0" collapsed="false">
      <c r="A258" s="12" t="s">
        <v>482</v>
      </c>
      <c r="B258" s="12" t="n">
        <v>42</v>
      </c>
      <c r="C258" s="12" t="s">
        <v>43</v>
      </c>
      <c r="D258" s="12" t="s">
        <v>85</v>
      </c>
      <c r="E258" s="12" t="s">
        <v>89</v>
      </c>
      <c r="F258" s="12" t="s">
        <v>37</v>
      </c>
      <c r="G258" s="12" t="s">
        <v>38</v>
      </c>
      <c r="H258" s="12" t="s">
        <v>46</v>
      </c>
      <c r="I258" s="12" t="n">
        <v>15</v>
      </c>
      <c r="J258" s="12" t="s">
        <v>40</v>
      </c>
      <c r="K258" s="12" t="s">
        <v>48</v>
      </c>
      <c r="L258" s="12" t="str">
        <f aca="false">IF(OR(H258="Severe",H258="Life-Threatening"),"Yes","No")</f>
        <v>No</v>
      </c>
      <c r="M258" s="12" t="str">
        <f aca="false">IF(B258&lt;18,"0-17",IF(B258&lt;40,"18-39",IF(B258&lt;60,"40-59","60+")))</f>
        <v>40-59</v>
      </c>
      <c r="N258" s="12" t="str">
        <f aca="false">IF(I258&lt;=1,"0-1 days",IF(I258&lt;=7,"2-7 days",IF(I258&lt;=30,"8-30 days","&gt;30 days")))</f>
        <v>8-30 days</v>
      </c>
    </row>
    <row r="259" customFormat="false" ht="15" hidden="false" customHeight="false" outlineLevel="0" collapsed="false">
      <c r="A259" s="12" t="s">
        <v>483</v>
      </c>
      <c r="B259" s="12" t="n">
        <v>61</v>
      </c>
      <c r="C259" s="12" t="s">
        <v>43</v>
      </c>
      <c r="D259" s="12" t="s">
        <v>69</v>
      </c>
      <c r="E259" s="12" t="s">
        <v>287</v>
      </c>
      <c r="F259" s="12" t="s">
        <v>214</v>
      </c>
      <c r="G259" s="12" t="s">
        <v>115</v>
      </c>
      <c r="H259" s="12" t="s">
        <v>39</v>
      </c>
      <c r="I259" s="12" t="n">
        <v>10</v>
      </c>
      <c r="J259" s="12" t="s">
        <v>40</v>
      </c>
      <c r="K259" s="12" t="s">
        <v>48</v>
      </c>
      <c r="L259" s="12" t="str">
        <f aca="false">IF(OR(H259="Severe",H259="Life-Threatening"),"Yes","No")</f>
        <v>No</v>
      </c>
      <c r="M259" s="12" t="str">
        <f aca="false">IF(B259&lt;18,"0-17",IF(B259&lt;40,"18-39",IF(B259&lt;60,"40-59","60+")))</f>
        <v>60+</v>
      </c>
      <c r="N259" s="12" t="str">
        <f aca="false">IF(I259&lt;=1,"0-1 days",IF(I259&lt;=7,"2-7 days",IF(I259&lt;=30,"8-30 days","&gt;30 days")))</f>
        <v>8-30 days</v>
      </c>
    </row>
    <row r="260" customFormat="false" ht="15" hidden="false" customHeight="false" outlineLevel="0" collapsed="false">
      <c r="A260" s="12" t="s">
        <v>484</v>
      </c>
      <c r="B260" s="12" t="n">
        <v>47</v>
      </c>
      <c r="C260" s="12" t="s">
        <v>43</v>
      </c>
      <c r="D260" s="12" t="s">
        <v>168</v>
      </c>
      <c r="E260" s="12" t="s">
        <v>74</v>
      </c>
      <c r="F260" s="12" t="s">
        <v>139</v>
      </c>
      <c r="G260" s="12" t="s">
        <v>38</v>
      </c>
      <c r="H260" s="12" t="s">
        <v>39</v>
      </c>
      <c r="I260" s="12" t="n">
        <v>23</v>
      </c>
      <c r="J260" s="12" t="s">
        <v>47</v>
      </c>
      <c r="K260" s="12" t="s">
        <v>147</v>
      </c>
      <c r="L260" s="12" t="str">
        <f aca="false">IF(OR(H260="Severe",H260="Life-Threatening"),"Yes","No")</f>
        <v>No</v>
      </c>
      <c r="M260" s="12" t="str">
        <f aca="false">IF(B260&lt;18,"0-17",IF(B260&lt;40,"18-39",IF(B260&lt;60,"40-59","60+")))</f>
        <v>40-59</v>
      </c>
      <c r="N260" s="12" t="str">
        <f aca="false">IF(I260&lt;=1,"0-1 days",IF(I260&lt;=7,"2-7 days",IF(I260&lt;=30,"8-30 days","&gt;30 days")))</f>
        <v>8-30 days</v>
      </c>
    </row>
    <row r="261" customFormat="false" ht="15" hidden="false" customHeight="false" outlineLevel="0" collapsed="false">
      <c r="A261" s="12" t="s">
        <v>485</v>
      </c>
      <c r="B261" s="12" t="n">
        <v>37</v>
      </c>
      <c r="C261" s="12" t="s">
        <v>43</v>
      </c>
      <c r="D261" s="12" t="s">
        <v>327</v>
      </c>
      <c r="E261" s="12" t="s">
        <v>92</v>
      </c>
      <c r="F261" s="12" t="s">
        <v>171</v>
      </c>
      <c r="G261" s="12" t="s">
        <v>53</v>
      </c>
      <c r="H261" s="12" t="s">
        <v>39</v>
      </c>
      <c r="I261" s="12" t="n">
        <v>17</v>
      </c>
      <c r="J261" s="12" t="s">
        <v>40</v>
      </c>
      <c r="K261" s="12" t="s">
        <v>48</v>
      </c>
      <c r="L261" s="12" t="str">
        <f aca="false">IF(OR(H261="Severe",H261="Life-Threatening"),"Yes","No")</f>
        <v>No</v>
      </c>
      <c r="M261" s="12" t="str">
        <f aca="false">IF(B261&lt;18,"0-17",IF(B261&lt;40,"18-39",IF(B261&lt;60,"40-59","60+")))</f>
        <v>18-39</v>
      </c>
      <c r="N261" s="12" t="str">
        <f aca="false">IF(I261&lt;=1,"0-1 days",IF(I261&lt;=7,"2-7 days",IF(I261&lt;=30,"8-30 days","&gt;30 days")))</f>
        <v>8-30 days</v>
      </c>
    </row>
    <row r="262" customFormat="false" ht="15" hidden="false" customHeight="false" outlineLevel="0" collapsed="false">
      <c r="A262" s="12" t="s">
        <v>486</v>
      </c>
      <c r="B262" s="12" t="n">
        <v>45</v>
      </c>
      <c r="C262" s="12" t="s">
        <v>43</v>
      </c>
      <c r="D262" s="12" t="s">
        <v>69</v>
      </c>
      <c r="E262" s="12" t="s">
        <v>307</v>
      </c>
      <c r="F262" s="12" t="s">
        <v>249</v>
      </c>
      <c r="G262" s="12" t="s">
        <v>152</v>
      </c>
      <c r="H262" s="12" t="s">
        <v>46</v>
      </c>
      <c r="I262" s="12" t="n">
        <v>29</v>
      </c>
      <c r="J262" s="12" t="s">
        <v>40</v>
      </c>
      <c r="K262" s="12" t="s">
        <v>63</v>
      </c>
      <c r="L262" s="12" t="str">
        <f aca="false">IF(OR(H262="Severe",H262="Life-Threatening"),"Yes","No")</f>
        <v>No</v>
      </c>
      <c r="M262" s="12" t="str">
        <f aca="false">IF(B262&lt;18,"0-17",IF(B262&lt;40,"18-39",IF(B262&lt;60,"40-59","60+")))</f>
        <v>40-59</v>
      </c>
      <c r="N262" s="12" t="str">
        <f aca="false">IF(I262&lt;=1,"0-1 days",IF(I262&lt;=7,"2-7 days",IF(I262&lt;=30,"8-30 days","&gt;30 days")))</f>
        <v>8-30 days</v>
      </c>
    </row>
    <row r="263" customFormat="false" ht="15" hidden="false" customHeight="false" outlineLevel="0" collapsed="false">
      <c r="A263" s="12" t="s">
        <v>487</v>
      </c>
      <c r="B263" s="12" t="n">
        <v>57</v>
      </c>
      <c r="C263" s="12" t="s">
        <v>34</v>
      </c>
      <c r="D263" s="12" t="s">
        <v>123</v>
      </c>
      <c r="E263" s="12" t="s">
        <v>61</v>
      </c>
      <c r="F263" s="12" t="s">
        <v>488</v>
      </c>
      <c r="G263" s="12" t="s">
        <v>53</v>
      </c>
      <c r="H263" s="12" t="s">
        <v>76</v>
      </c>
      <c r="I263" s="12" t="n">
        <v>0</v>
      </c>
      <c r="J263" s="12" t="s">
        <v>105</v>
      </c>
      <c r="K263" s="12" t="s">
        <v>48</v>
      </c>
      <c r="L263" s="12" t="str">
        <f aca="false">IF(OR(H263="Severe",H263="Life-Threatening"),"Yes","No")</f>
        <v>Yes</v>
      </c>
      <c r="M263" s="12" t="str">
        <f aca="false">IF(B263&lt;18,"0-17",IF(B263&lt;40,"18-39",IF(B263&lt;60,"40-59","60+")))</f>
        <v>40-59</v>
      </c>
      <c r="N263" s="12" t="str">
        <f aca="false">IF(I263&lt;=1,"0-1 days",IF(I263&lt;=7,"2-7 days",IF(I263&lt;=30,"8-30 days","&gt;30 days")))</f>
        <v>0-1 days</v>
      </c>
    </row>
    <row r="264" customFormat="false" ht="15" hidden="false" customHeight="false" outlineLevel="0" collapsed="false">
      <c r="A264" s="12" t="s">
        <v>489</v>
      </c>
      <c r="B264" s="12" t="n">
        <v>54</v>
      </c>
      <c r="C264" s="12" t="s">
        <v>43</v>
      </c>
      <c r="D264" s="12" t="s">
        <v>194</v>
      </c>
      <c r="E264" s="12" t="s">
        <v>374</v>
      </c>
      <c r="F264" s="12" t="s">
        <v>108</v>
      </c>
      <c r="G264" s="12" t="s">
        <v>38</v>
      </c>
      <c r="H264" s="12" t="s">
        <v>39</v>
      </c>
      <c r="I264" s="12" t="n">
        <v>22</v>
      </c>
      <c r="J264" s="12" t="s">
        <v>40</v>
      </c>
      <c r="K264" s="12" t="s">
        <v>41</v>
      </c>
      <c r="L264" s="12" t="str">
        <f aca="false">IF(OR(H264="Severe",H264="Life-Threatening"),"Yes","No")</f>
        <v>No</v>
      </c>
      <c r="M264" s="12" t="str">
        <f aca="false">IF(B264&lt;18,"0-17",IF(B264&lt;40,"18-39",IF(B264&lt;60,"40-59","60+")))</f>
        <v>40-59</v>
      </c>
      <c r="N264" s="12" t="str">
        <f aca="false">IF(I264&lt;=1,"0-1 days",IF(I264&lt;=7,"2-7 days",IF(I264&lt;=30,"8-30 days","&gt;30 days")))</f>
        <v>8-30 days</v>
      </c>
    </row>
    <row r="265" customFormat="false" ht="15" hidden="false" customHeight="false" outlineLevel="0" collapsed="false">
      <c r="A265" s="12" t="s">
        <v>490</v>
      </c>
      <c r="B265" s="12" t="n">
        <v>73</v>
      </c>
      <c r="C265" s="12" t="s">
        <v>34</v>
      </c>
      <c r="D265" s="12" t="s">
        <v>55</v>
      </c>
      <c r="E265" s="12" t="s">
        <v>229</v>
      </c>
      <c r="F265" s="12" t="s">
        <v>139</v>
      </c>
      <c r="G265" s="12" t="s">
        <v>38</v>
      </c>
      <c r="H265" s="12" t="s">
        <v>46</v>
      </c>
      <c r="I265" s="12" t="n">
        <v>5</v>
      </c>
      <c r="J265" s="12" t="s">
        <v>40</v>
      </c>
      <c r="K265" s="12" t="s">
        <v>48</v>
      </c>
      <c r="L265" s="12" t="str">
        <f aca="false">IF(OR(H265="Severe",H265="Life-Threatening"),"Yes","No")</f>
        <v>No</v>
      </c>
      <c r="M265" s="12" t="str">
        <f aca="false">IF(B265&lt;18,"0-17",IF(B265&lt;40,"18-39",IF(B265&lt;60,"40-59","60+")))</f>
        <v>60+</v>
      </c>
      <c r="N265" s="12" t="str">
        <f aca="false">IF(I265&lt;=1,"0-1 days",IF(I265&lt;=7,"2-7 days",IF(I265&lt;=30,"8-30 days","&gt;30 days")))</f>
        <v>2-7 days</v>
      </c>
    </row>
    <row r="266" customFormat="false" ht="15" hidden="false" customHeight="false" outlineLevel="0" collapsed="false">
      <c r="A266" s="12" t="s">
        <v>491</v>
      </c>
      <c r="B266" s="12" t="n">
        <v>37</v>
      </c>
      <c r="C266" s="12" t="s">
        <v>34</v>
      </c>
      <c r="D266" s="12" t="s">
        <v>234</v>
      </c>
      <c r="E266" s="12" t="s">
        <v>191</v>
      </c>
      <c r="F266" s="12" t="s">
        <v>128</v>
      </c>
      <c r="G266" s="12" t="s">
        <v>53</v>
      </c>
      <c r="H266" s="12" t="s">
        <v>39</v>
      </c>
      <c r="I266" s="12" t="n">
        <v>14</v>
      </c>
      <c r="J266" s="12" t="s">
        <v>40</v>
      </c>
      <c r="K266" s="12" t="s">
        <v>48</v>
      </c>
      <c r="L266" s="12" t="str">
        <f aca="false">IF(OR(H266="Severe",H266="Life-Threatening"),"Yes","No")</f>
        <v>No</v>
      </c>
      <c r="M266" s="12" t="str">
        <f aca="false">IF(B266&lt;18,"0-17",IF(B266&lt;40,"18-39",IF(B266&lt;60,"40-59","60+")))</f>
        <v>18-39</v>
      </c>
      <c r="N266" s="12" t="str">
        <f aca="false">IF(I266&lt;=1,"0-1 days",IF(I266&lt;=7,"2-7 days",IF(I266&lt;=30,"8-30 days","&gt;30 days")))</f>
        <v>8-30 days</v>
      </c>
    </row>
    <row r="267" customFormat="false" ht="15" hidden="false" customHeight="false" outlineLevel="0" collapsed="false">
      <c r="A267" s="12" t="s">
        <v>492</v>
      </c>
      <c r="B267" s="12" t="n">
        <v>77</v>
      </c>
      <c r="C267" s="12" t="s">
        <v>43</v>
      </c>
      <c r="D267" s="12" t="s">
        <v>163</v>
      </c>
      <c r="E267" s="12" t="s">
        <v>407</v>
      </c>
      <c r="F267" s="12" t="s">
        <v>176</v>
      </c>
      <c r="G267" s="12" t="s">
        <v>177</v>
      </c>
      <c r="H267" s="12" t="s">
        <v>76</v>
      </c>
      <c r="I267" s="12" t="n">
        <v>29</v>
      </c>
      <c r="J267" s="12" t="s">
        <v>47</v>
      </c>
      <c r="K267" s="12" t="s">
        <v>48</v>
      </c>
      <c r="L267" s="12" t="str">
        <f aca="false">IF(OR(H267="Severe",H267="Life-Threatening"),"Yes","No")</f>
        <v>Yes</v>
      </c>
      <c r="M267" s="12" t="str">
        <f aca="false">IF(B267&lt;18,"0-17",IF(B267&lt;40,"18-39",IF(B267&lt;60,"40-59","60+")))</f>
        <v>60+</v>
      </c>
      <c r="N267" s="12" t="str">
        <f aca="false">IF(I267&lt;=1,"0-1 days",IF(I267&lt;=7,"2-7 days",IF(I267&lt;=30,"8-30 days","&gt;30 days")))</f>
        <v>8-30 days</v>
      </c>
    </row>
    <row r="268" customFormat="false" ht="15" hidden="false" customHeight="false" outlineLevel="0" collapsed="false">
      <c r="A268" s="12" t="s">
        <v>493</v>
      </c>
      <c r="B268" s="12" t="n">
        <v>60</v>
      </c>
      <c r="C268" s="12" t="s">
        <v>43</v>
      </c>
      <c r="D268" s="12" t="s">
        <v>35</v>
      </c>
      <c r="E268" s="12" t="s">
        <v>454</v>
      </c>
      <c r="F268" s="12" t="s">
        <v>52</v>
      </c>
      <c r="G268" s="12" t="s">
        <v>53</v>
      </c>
      <c r="H268" s="12" t="s">
        <v>76</v>
      </c>
      <c r="I268" s="12" t="n">
        <v>2</v>
      </c>
      <c r="J268" s="12" t="s">
        <v>47</v>
      </c>
      <c r="K268" s="12" t="s">
        <v>41</v>
      </c>
      <c r="L268" s="12" t="str">
        <f aca="false">IF(OR(H268="Severe",H268="Life-Threatening"),"Yes","No")</f>
        <v>Yes</v>
      </c>
      <c r="M268" s="12" t="str">
        <f aca="false">IF(B268&lt;18,"0-17",IF(B268&lt;40,"18-39",IF(B268&lt;60,"40-59","60+")))</f>
        <v>60+</v>
      </c>
      <c r="N268" s="12" t="str">
        <f aca="false">IF(I268&lt;=1,"0-1 days",IF(I268&lt;=7,"2-7 days",IF(I268&lt;=30,"8-30 days","&gt;30 days")))</f>
        <v>2-7 days</v>
      </c>
    </row>
    <row r="269" customFormat="false" ht="15" hidden="false" customHeight="false" outlineLevel="0" collapsed="false">
      <c r="A269" s="12" t="s">
        <v>494</v>
      </c>
      <c r="B269" s="12" t="n">
        <v>52</v>
      </c>
      <c r="C269" s="12" t="s">
        <v>43</v>
      </c>
      <c r="D269" s="12" t="s">
        <v>85</v>
      </c>
      <c r="E269" s="12" t="s">
        <v>495</v>
      </c>
      <c r="F269" s="12" t="s">
        <v>403</v>
      </c>
      <c r="G269" s="12" t="s">
        <v>80</v>
      </c>
      <c r="H269" s="12" t="s">
        <v>46</v>
      </c>
      <c r="I269" s="12" t="n">
        <v>25</v>
      </c>
      <c r="J269" s="12" t="s">
        <v>169</v>
      </c>
      <c r="K269" s="12" t="s">
        <v>48</v>
      </c>
      <c r="L269" s="12" t="str">
        <f aca="false">IF(OR(H269="Severe",H269="Life-Threatening"),"Yes","No")</f>
        <v>No</v>
      </c>
      <c r="M269" s="12" t="str">
        <f aca="false">IF(B269&lt;18,"0-17",IF(B269&lt;40,"18-39",IF(B269&lt;60,"40-59","60+")))</f>
        <v>40-59</v>
      </c>
      <c r="N269" s="12" t="str">
        <f aca="false">IF(I269&lt;=1,"0-1 days",IF(I269&lt;=7,"2-7 days",IF(I269&lt;=30,"8-30 days","&gt;30 days")))</f>
        <v>8-30 days</v>
      </c>
    </row>
    <row r="270" customFormat="false" ht="15" hidden="false" customHeight="false" outlineLevel="0" collapsed="false">
      <c r="A270" s="12" t="s">
        <v>496</v>
      </c>
      <c r="B270" s="12" t="n">
        <v>49</v>
      </c>
      <c r="C270" s="12" t="s">
        <v>43</v>
      </c>
      <c r="D270" s="12" t="s">
        <v>327</v>
      </c>
      <c r="E270" s="12" t="s">
        <v>175</v>
      </c>
      <c r="F270" s="12" t="s">
        <v>371</v>
      </c>
      <c r="G270" s="12" t="s">
        <v>72</v>
      </c>
      <c r="H270" s="12" t="s">
        <v>76</v>
      </c>
      <c r="I270" s="12" t="n">
        <v>12</v>
      </c>
      <c r="J270" s="12" t="s">
        <v>105</v>
      </c>
      <c r="K270" s="12" t="s">
        <v>63</v>
      </c>
      <c r="L270" s="12" t="str">
        <f aca="false">IF(OR(H270="Severe",H270="Life-Threatening"),"Yes","No")</f>
        <v>Yes</v>
      </c>
      <c r="M270" s="12" t="str">
        <f aca="false">IF(B270&lt;18,"0-17",IF(B270&lt;40,"18-39",IF(B270&lt;60,"40-59","60+")))</f>
        <v>40-59</v>
      </c>
      <c r="N270" s="12" t="str">
        <f aca="false">IF(I270&lt;=1,"0-1 days",IF(I270&lt;=7,"2-7 days",IF(I270&lt;=30,"8-30 days","&gt;30 days")))</f>
        <v>8-30 days</v>
      </c>
    </row>
    <row r="271" customFormat="false" ht="15" hidden="false" customHeight="false" outlineLevel="0" collapsed="false">
      <c r="A271" s="12" t="s">
        <v>497</v>
      </c>
      <c r="B271" s="12" t="n">
        <v>35</v>
      </c>
      <c r="C271" s="12" t="s">
        <v>34</v>
      </c>
      <c r="D271" s="12" t="s">
        <v>35</v>
      </c>
      <c r="E271" s="12" t="s">
        <v>498</v>
      </c>
      <c r="F271" s="12" t="s">
        <v>93</v>
      </c>
      <c r="G271" s="12" t="s">
        <v>94</v>
      </c>
      <c r="H271" s="12" t="s">
        <v>46</v>
      </c>
      <c r="I271" s="12" t="n">
        <v>18</v>
      </c>
      <c r="J271" s="12" t="s">
        <v>40</v>
      </c>
      <c r="K271" s="12" t="s">
        <v>63</v>
      </c>
      <c r="L271" s="12" t="str">
        <f aca="false">IF(OR(H271="Severe",H271="Life-Threatening"),"Yes","No")</f>
        <v>No</v>
      </c>
      <c r="M271" s="12" t="str">
        <f aca="false">IF(B271&lt;18,"0-17",IF(B271&lt;40,"18-39",IF(B271&lt;60,"40-59","60+")))</f>
        <v>18-39</v>
      </c>
      <c r="N271" s="12" t="str">
        <f aca="false">IF(I271&lt;=1,"0-1 days",IF(I271&lt;=7,"2-7 days",IF(I271&lt;=30,"8-30 days","&gt;30 days")))</f>
        <v>8-30 days</v>
      </c>
    </row>
    <row r="272" customFormat="false" ht="15" hidden="false" customHeight="false" outlineLevel="0" collapsed="false">
      <c r="A272" s="12" t="s">
        <v>499</v>
      </c>
      <c r="B272" s="12" t="n">
        <v>53</v>
      </c>
      <c r="C272" s="12" t="s">
        <v>34</v>
      </c>
      <c r="D272" s="12" t="s">
        <v>211</v>
      </c>
      <c r="E272" s="12" t="s">
        <v>200</v>
      </c>
      <c r="F272" s="12" t="s">
        <v>403</v>
      </c>
      <c r="G272" s="12" t="s">
        <v>80</v>
      </c>
      <c r="H272" s="12" t="s">
        <v>46</v>
      </c>
      <c r="I272" s="12" t="n">
        <v>7</v>
      </c>
      <c r="J272" s="12" t="s">
        <v>40</v>
      </c>
      <c r="K272" s="12" t="s">
        <v>48</v>
      </c>
      <c r="L272" s="12" t="str">
        <f aca="false">IF(OR(H272="Severe",H272="Life-Threatening"),"Yes","No")</f>
        <v>No</v>
      </c>
      <c r="M272" s="12" t="str">
        <f aca="false">IF(B272&lt;18,"0-17",IF(B272&lt;40,"18-39",IF(B272&lt;60,"40-59","60+")))</f>
        <v>40-59</v>
      </c>
      <c r="N272" s="12" t="str">
        <f aca="false">IF(I272&lt;=1,"0-1 days",IF(I272&lt;=7,"2-7 days",IF(I272&lt;=30,"8-30 days","&gt;30 days")))</f>
        <v>2-7 days</v>
      </c>
    </row>
    <row r="273" customFormat="false" ht="15" hidden="false" customHeight="false" outlineLevel="0" collapsed="false">
      <c r="A273" s="12" t="s">
        <v>500</v>
      </c>
      <c r="B273" s="12" t="n">
        <v>75</v>
      </c>
      <c r="C273" s="12" t="s">
        <v>43</v>
      </c>
      <c r="D273" s="12" t="s">
        <v>144</v>
      </c>
      <c r="E273" s="12" t="s">
        <v>188</v>
      </c>
      <c r="F273" s="12" t="s">
        <v>79</v>
      </c>
      <c r="G273" s="12" t="s">
        <v>80</v>
      </c>
      <c r="H273" s="12" t="s">
        <v>39</v>
      </c>
      <c r="I273" s="12" t="n">
        <v>28</v>
      </c>
      <c r="J273" s="12" t="s">
        <v>169</v>
      </c>
      <c r="K273" s="12" t="s">
        <v>48</v>
      </c>
      <c r="L273" s="12" t="str">
        <f aca="false">IF(OR(H273="Severe",H273="Life-Threatening"),"Yes","No")</f>
        <v>No</v>
      </c>
      <c r="M273" s="12" t="str">
        <f aca="false">IF(B273&lt;18,"0-17",IF(B273&lt;40,"18-39",IF(B273&lt;60,"40-59","60+")))</f>
        <v>60+</v>
      </c>
      <c r="N273" s="12" t="str">
        <f aca="false">IF(I273&lt;=1,"0-1 days",IF(I273&lt;=7,"2-7 days",IF(I273&lt;=30,"8-30 days","&gt;30 days")))</f>
        <v>8-30 days</v>
      </c>
    </row>
    <row r="274" customFormat="false" ht="15" hidden="false" customHeight="false" outlineLevel="0" collapsed="false">
      <c r="A274" s="12" t="s">
        <v>501</v>
      </c>
      <c r="B274" s="12" t="n">
        <v>40</v>
      </c>
      <c r="C274" s="12" t="s">
        <v>34</v>
      </c>
      <c r="D274" s="12" t="s">
        <v>196</v>
      </c>
      <c r="E274" s="12" t="s">
        <v>241</v>
      </c>
      <c r="F274" s="12" t="s">
        <v>135</v>
      </c>
      <c r="G274" s="12" t="s">
        <v>136</v>
      </c>
      <c r="H274" s="12" t="s">
        <v>46</v>
      </c>
      <c r="I274" s="12" t="n">
        <v>26</v>
      </c>
      <c r="J274" s="12" t="s">
        <v>47</v>
      </c>
      <c r="K274" s="12" t="s">
        <v>48</v>
      </c>
      <c r="L274" s="12" t="str">
        <f aca="false">IF(OR(H274="Severe",H274="Life-Threatening"),"Yes","No")</f>
        <v>No</v>
      </c>
      <c r="M274" s="12" t="str">
        <f aca="false">IF(B274&lt;18,"0-17",IF(B274&lt;40,"18-39",IF(B274&lt;60,"40-59","60+")))</f>
        <v>40-59</v>
      </c>
      <c r="N274" s="12" t="str">
        <f aca="false">IF(I274&lt;=1,"0-1 days",IF(I274&lt;=7,"2-7 days",IF(I274&lt;=30,"8-30 days","&gt;30 days")))</f>
        <v>8-30 days</v>
      </c>
    </row>
    <row r="275" customFormat="false" ht="15" hidden="false" customHeight="false" outlineLevel="0" collapsed="false">
      <c r="A275" s="12" t="s">
        <v>502</v>
      </c>
      <c r="B275" s="12" t="n">
        <v>28</v>
      </c>
      <c r="C275" s="12" t="s">
        <v>43</v>
      </c>
      <c r="D275" s="12" t="s">
        <v>69</v>
      </c>
      <c r="E275" s="12" t="s">
        <v>70</v>
      </c>
      <c r="F275" s="12" t="s">
        <v>71</v>
      </c>
      <c r="G275" s="12" t="s">
        <v>72</v>
      </c>
      <c r="H275" s="12" t="s">
        <v>76</v>
      </c>
      <c r="I275" s="12" t="n">
        <v>1</v>
      </c>
      <c r="J275" s="12" t="s">
        <v>47</v>
      </c>
      <c r="K275" s="12" t="s">
        <v>147</v>
      </c>
      <c r="L275" s="12" t="str">
        <f aca="false">IF(OR(H275="Severe",H275="Life-Threatening"),"Yes","No")</f>
        <v>Yes</v>
      </c>
      <c r="M275" s="12" t="str">
        <f aca="false">IF(B275&lt;18,"0-17",IF(B275&lt;40,"18-39",IF(B275&lt;60,"40-59","60+")))</f>
        <v>18-39</v>
      </c>
      <c r="N275" s="12" t="str">
        <f aca="false">IF(I275&lt;=1,"0-1 days",IF(I275&lt;=7,"2-7 days",IF(I275&lt;=30,"8-30 days","&gt;30 days")))</f>
        <v>0-1 days</v>
      </c>
    </row>
    <row r="276" customFormat="false" ht="15" hidden="false" customHeight="false" outlineLevel="0" collapsed="false">
      <c r="A276" s="12" t="s">
        <v>503</v>
      </c>
      <c r="B276" s="12" t="n">
        <v>57</v>
      </c>
      <c r="C276" s="12" t="s">
        <v>43</v>
      </c>
      <c r="D276" s="12" t="s">
        <v>35</v>
      </c>
      <c r="E276" s="12" t="s">
        <v>158</v>
      </c>
      <c r="F276" s="12" t="s">
        <v>62</v>
      </c>
      <c r="G276" s="12" t="s">
        <v>53</v>
      </c>
      <c r="H276" s="12" t="s">
        <v>46</v>
      </c>
      <c r="I276" s="12" t="n">
        <v>30</v>
      </c>
      <c r="J276" s="12" t="s">
        <v>40</v>
      </c>
      <c r="K276" s="12" t="s">
        <v>48</v>
      </c>
      <c r="L276" s="12" t="str">
        <f aca="false">IF(OR(H276="Severe",H276="Life-Threatening"),"Yes","No")</f>
        <v>No</v>
      </c>
      <c r="M276" s="12" t="str">
        <f aca="false">IF(B276&lt;18,"0-17",IF(B276&lt;40,"18-39",IF(B276&lt;60,"40-59","60+")))</f>
        <v>40-59</v>
      </c>
      <c r="N276" s="12" t="str">
        <f aca="false">IF(I276&lt;=1,"0-1 days",IF(I276&lt;=7,"2-7 days",IF(I276&lt;=30,"8-30 days","&gt;30 days")))</f>
        <v>8-30 days</v>
      </c>
    </row>
    <row r="277" customFormat="false" ht="15" hidden="false" customHeight="false" outlineLevel="0" collapsed="false">
      <c r="A277" s="12" t="s">
        <v>504</v>
      </c>
      <c r="B277" s="12" t="n">
        <v>60</v>
      </c>
      <c r="C277" s="12" t="s">
        <v>34</v>
      </c>
      <c r="D277" s="12" t="s">
        <v>35</v>
      </c>
      <c r="E277" s="12" t="s">
        <v>51</v>
      </c>
      <c r="F277" s="12" t="s">
        <v>145</v>
      </c>
      <c r="G277" s="12" t="s">
        <v>146</v>
      </c>
      <c r="H277" s="12" t="s">
        <v>39</v>
      </c>
      <c r="I277" s="12" t="n">
        <v>29</v>
      </c>
      <c r="J277" s="12" t="s">
        <v>67</v>
      </c>
      <c r="K277" s="12" t="s">
        <v>48</v>
      </c>
      <c r="L277" s="12" t="str">
        <f aca="false">IF(OR(H277="Severe",H277="Life-Threatening"),"Yes","No")</f>
        <v>No</v>
      </c>
      <c r="M277" s="12" t="str">
        <f aca="false">IF(B277&lt;18,"0-17",IF(B277&lt;40,"18-39",IF(B277&lt;60,"40-59","60+")))</f>
        <v>60+</v>
      </c>
      <c r="N277" s="12" t="str">
        <f aca="false">IF(I277&lt;=1,"0-1 days",IF(I277&lt;=7,"2-7 days",IF(I277&lt;=30,"8-30 days","&gt;30 days")))</f>
        <v>8-30 days</v>
      </c>
    </row>
    <row r="278" customFormat="false" ht="15" hidden="false" customHeight="false" outlineLevel="0" collapsed="false">
      <c r="A278" s="12" t="s">
        <v>505</v>
      </c>
      <c r="B278" s="12" t="n">
        <v>36</v>
      </c>
      <c r="C278" s="12" t="s">
        <v>43</v>
      </c>
      <c r="D278" s="12" t="s">
        <v>35</v>
      </c>
      <c r="E278" s="12" t="s">
        <v>181</v>
      </c>
      <c r="F278" s="12" t="s">
        <v>506</v>
      </c>
      <c r="G278" s="12" t="s">
        <v>94</v>
      </c>
      <c r="H278" s="12" t="s">
        <v>39</v>
      </c>
      <c r="I278" s="12" t="n">
        <v>27</v>
      </c>
      <c r="J278" s="12" t="s">
        <v>47</v>
      </c>
      <c r="K278" s="12" t="s">
        <v>41</v>
      </c>
      <c r="L278" s="12" t="str">
        <f aca="false">IF(OR(H278="Severe",H278="Life-Threatening"),"Yes","No")</f>
        <v>No</v>
      </c>
      <c r="M278" s="12" t="str">
        <f aca="false">IF(B278&lt;18,"0-17",IF(B278&lt;40,"18-39",IF(B278&lt;60,"40-59","60+")))</f>
        <v>18-39</v>
      </c>
      <c r="N278" s="12" t="str">
        <f aca="false">IF(I278&lt;=1,"0-1 days",IF(I278&lt;=7,"2-7 days",IF(I278&lt;=30,"8-30 days","&gt;30 days")))</f>
        <v>8-30 days</v>
      </c>
    </row>
    <row r="279" customFormat="false" ht="15" hidden="false" customHeight="false" outlineLevel="0" collapsed="false">
      <c r="A279" s="12" t="s">
        <v>507</v>
      </c>
      <c r="B279" s="12" t="n">
        <v>22</v>
      </c>
      <c r="C279" s="12" t="s">
        <v>34</v>
      </c>
      <c r="D279" s="12" t="s">
        <v>155</v>
      </c>
      <c r="E279" s="12" t="s">
        <v>121</v>
      </c>
      <c r="F279" s="12" t="s">
        <v>45</v>
      </c>
      <c r="G279" s="12" t="s">
        <v>38</v>
      </c>
      <c r="H279" s="12" t="s">
        <v>76</v>
      </c>
      <c r="I279" s="12" t="n">
        <v>29</v>
      </c>
      <c r="J279" s="12" t="s">
        <v>40</v>
      </c>
      <c r="K279" s="12" t="s">
        <v>147</v>
      </c>
      <c r="L279" s="12" t="str">
        <f aca="false">IF(OR(H279="Severe",H279="Life-Threatening"),"Yes","No")</f>
        <v>Yes</v>
      </c>
      <c r="M279" s="12" t="str">
        <f aca="false">IF(B279&lt;18,"0-17",IF(B279&lt;40,"18-39",IF(B279&lt;60,"40-59","60+")))</f>
        <v>18-39</v>
      </c>
      <c r="N279" s="12" t="str">
        <f aca="false">IF(I279&lt;=1,"0-1 days",IF(I279&lt;=7,"2-7 days",IF(I279&lt;=30,"8-30 days","&gt;30 days")))</f>
        <v>8-30 days</v>
      </c>
    </row>
    <row r="280" customFormat="false" ht="15" hidden="false" customHeight="false" outlineLevel="0" collapsed="false">
      <c r="A280" s="12" t="s">
        <v>508</v>
      </c>
      <c r="B280" s="12" t="n">
        <v>54</v>
      </c>
      <c r="C280" s="12" t="s">
        <v>34</v>
      </c>
      <c r="D280" s="12" t="s">
        <v>102</v>
      </c>
      <c r="E280" s="12" t="s">
        <v>227</v>
      </c>
      <c r="F280" s="12" t="s">
        <v>214</v>
      </c>
      <c r="G280" s="12" t="s">
        <v>115</v>
      </c>
      <c r="H280" s="12" t="s">
        <v>39</v>
      </c>
      <c r="I280" s="12" t="n">
        <v>26</v>
      </c>
      <c r="J280" s="12" t="s">
        <v>47</v>
      </c>
      <c r="K280" s="12" t="s">
        <v>48</v>
      </c>
      <c r="L280" s="12" t="str">
        <f aca="false">IF(OR(H280="Severe",H280="Life-Threatening"),"Yes","No")</f>
        <v>No</v>
      </c>
      <c r="M280" s="12" t="str">
        <f aca="false">IF(B280&lt;18,"0-17",IF(B280&lt;40,"18-39",IF(B280&lt;60,"40-59","60+")))</f>
        <v>40-59</v>
      </c>
      <c r="N280" s="12" t="str">
        <f aca="false">IF(I280&lt;=1,"0-1 days",IF(I280&lt;=7,"2-7 days",IF(I280&lt;=30,"8-30 days","&gt;30 days")))</f>
        <v>8-30 days</v>
      </c>
    </row>
    <row r="281" customFormat="false" ht="15" hidden="false" customHeight="false" outlineLevel="0" collapsed="false">
      <c r="A281" s="12" t="s">
        <v>509</v>
      </c>
      <c r="B281" s="12" t="n">
        <v>37</v>
      </c>
      <c r="C281" s="12" t="s">
        <v>43</v>
      </c>
      <c r="D281" s="12" t="s">
        <v>99</v>
      </c>
      <c r="E281" s="12" t="s">
        <v>89</v>
      </c>
      <c r="F281" s="12" t="s">
        <v>364</v>
      </c>
      <c r="G281" s="12" t="s">
        <v>38</v>
      </c>
      <c r="H281" s="12" t="s">
        <v>59</v>
      </c>
      <c r="I281" s="12" t="n">
        <v>15</v>
      </c>
      <c r="J281" s="12" t="s">
        <v>67</v>
      </c>
      <c r="K281" s="12" t="s">
        <v>63</v>
      </c>
      <c r="L281" s="12" t="str">
        <f aca="false">IF(OR(H281="Severe",H281="Life-Threatening"),"Yes","No")</f>
        <v>Yes</v>
      </c>
      <c r="M281" s="12" t="str">
        <f aca="false">IF(B281&lt;18,"0-17",IF(B281&lt;40,"18-39",IF(B281&lt;60,"40-59","60+")))</f>
        <v>18-39</v>
      </c>
      <c r="N281" s="12" t="str">
        <f aca="false">IF(I281&lt;=1,"0-1 days",IF(I281&lt;=7,"2-7 days",IF(I281&lt;=30,"8-30 days","&gt;30 days")))</f>
        <v>8-30 days</v>
      </c>
    </row>
    <row r="282" customFormat="false" ht="15" hidden="false" customHeight="false" outlineLevel="0" collapsed="false">
      <c r="A282" s="12" t="s">
        <v>510</v>
      </c>
      <c r="B282" s="12" t="n">
        <v>52</v>
      </c>
      <c r="C282" s="12" t="s">
        <v>34</v>
      </c>
      <c r="D282" s="12" t="s">
        <v>163</v>
      </c>
      <c r="E282" s="12" t="s">
        <v>239</v>
      </c>
      <c r="F282" s="12" t="s">
        <v>62</v>
      </c>
      <c r="G282" s="12" t="s">
        <v>53</v>
      </c>
      <c r="H282" s="12" t="s">
        <v>46</v>
      </c>
      <c r="I282" s="12" t="n">
        <v>8</v>
      </c>
      <c r="J282" s="12" t="s">
        <v>40</v>
      </c>
      <c r="K282" s="12" t="s">
        <v>63</v>
      </c>
      <c r="L282" s="12" t="str">
        <f aca="false">IF(OR(H282="Severe",H282="Life-Threatening"),"Yes","No")</f>
        <v>No</v>
      </c>
      <c r="M282" s="12" t="str">
        <f aca="false">IF(B282&lt;18,"0-17",IF(B282&lt;40,"18-39",IF(B282&lt;60,"40-59","60+")))</f>
        <v>40-59</v>
      </c>
      <c r="N282" s="12" t="str">
        <f aca="false">IF(I282&lt;=1,"0-1 days",IF(I282&lt;=7,"2-7 days",IF(I282&lt;=30,"8-30 days","&gt;30 days")))</f>
        <v>8-30 days</v>
      </c>
    </row>
    <row r="283" customFormat="false" ht="15" hidden="false" customHeight="false" outlineLevel="0" collapsed="false">
      <c r="A283" s="12" t="s">
        <v>511</v>
      </c>
      <c r="B283" s="12" t="n">
        <v>43</v>
      </c>
      <c r="C283" s="12" t="s">
        <v>34</v>
      </c>
      <c r="D283" s="12" t="s">
        <v>69</v>
      </c>
      <c r="E283" s="12" t="s">
        <v>134</v>
      </c>
      <c r="F283" s="12" t="s">
        <v>254</v>
      </c>
      <c r="G283" s="12" t="s">
        <v>136</v>
      </c>
      <c r="H283" s="12" t="s">
        <v>76</v>
      </c>
      <c r="I283" s="12" t="n">
        <v>43</v>
      </c>
      <c r="J283" s="12" t="s">
        <v>47</v>
      </c>
      <c r="K283" s="12" t="s">
        <v>48</v>
      </c>
      <c r="L283" s="12" t="str">
        <f aca="false">IF(OR(H283="Severe",H283="Life-Threatening"),"Yes","No")</f>
        <v>Yes</v>
      </c>
      <c r="M283" s="12" t="str">
        <f aca="false">IF(B283&lt;18,"0-17",IF(B283&lt;40,"18-39",IF(B283&lt;60,"40-59","60+")))</f>
        <v>40-59</v>
      </c>
      <c r="N283" s="12" t="str">
        <f aca="false">IF(I283&lt;=1,"0-1 days",IF(I283&lt;=7,"2-7 days",IF(I283&lt;=30,"8-30 days","&gt;30 days")))</f>
        <v>&gt;30 days</v>
      </c>
    </row>
    <row r="284" customFormat="false" ht="15" hidden="false" customHeight="false" outlineLevel="0" collapsed="false">
      <c r="A284" s="12" t="s">
        <v>512</v>
      </c>
      <c r="B284" s="12" t="n">
        <v>27</v>
      </c>
      <c r="C284" s="12" t="s">
        <v>34</v>
      </c>
      <c r="D284" s="12" t="s">
        <v>163</v>
      </c>
      <c r="E284" s="12" t="s">
        <v>253</v>
      </c>
      <c r="F284" s="12" t="s">
        <v>254</v>
      </c>
      <c r="G284" s="12" t="s">
        <v>136</v>
      </c>
      <c r="H284" s="12" t="s">
        <v>76</v>
      </c>
      <c r="I284" s="12" t="n">
        <v>22</v>
      </c>
      <c r="J284" s="12" t="s">
        <v>40</v>
      </c>
      <c r="K284" s="12" t="s">
        <v>48</v>
      </c>
      <c r="L284" s="12" t="str">
        <f aca="false">IF(OR(H284="Severe",H284="Life-Threatening"),"Yes","No")</f>
        <v>Yes</v>
      </c>
      <c r="M284" s="12" t="str">
        <f aca="false">IF(B284&lt;18,"0-17",IF(B284&lt;40,"18-39",IF(B284&lt;60,"40-59","60+")))</f>
        <v>18-39</v>
      </c>
      <c r="N284" s="12" t="str">
        <f aca="false">IF(I284&lt;=1,"0-1 days",IF(I284&lt;=7,"2-7 days",IF(I284&lt;=30,"8-30 days","&gt;30 days")))</f>
        <v>8-30 days</v>
      </c>
    </row>
    <row r="285" customFormat="false" ht="15" hidden="false" customHeight="false" outlineLevel="0" collapsed="false">
      <c r="A285" s="12" t="s">
        <v>513</v>
      </c>
      <c r="B285" s="12" t="n">
        <v>34</v>
      </c>
      <c r="C285" s="12" t="s">
        <v>43</v>
      </c>
      <c r="D285" s="12" t="s">
        <v>35</v>
      </c>
      <c r="E285" s="12" t="s">
        <v>36</v>
      </c>
      <c r="F285" s="12" t="s">
        <v>364</v>
      </c>
      <c r="G285" s="12" t="s">
        <v>38</v>
      </c>
      <c r="H285" s="12" t="s">
        <v>59</v>
      </c>
      <c r="I285" s="12" t="n">
        <v>15</v>
      </c>
      <c r="J285" s="12" t="s">
        <v>67</v>
      </c>
      <c r="K285" s="12" t="s">
        <v>147</v>
      </c>
      <c r="L285" s="12" t="str">
        <f aca="false">IF(OR(H285="Severe",H285="Life-Threatening"),"Yes","No")</f>
        <v>Yes</v>
      </c>
      <c r="M285" s="12" t="str">
        <f aca="false">IF(B285&lt;18,"0-17",IF(B285&lt;40,"18-39",IF(B285&lt;60,"40-59","60+")))</f>
        <v>18-39</v>
      </c>
      <c r="N285" s="12" t="str">
        <f aca="false">IF(I285&lt;=1,"0-1 days",IF(I285&lt;=7,"2-7 days",IF(I285&lt;=30,"8-30 days","&gt;30 days")))</f>
        <v>8-30 days</v>
      </c>
    </row>
    <row r="286" customFormat="false" ht="15" hidden="false" customHeight="false" outlineLevel="0" collapsed="false">
      <c r="A286" s="12" t="s">
        <v>514</v>
      </c>
      <c r="B286" s="12" t="n">
        <v>80</v>
      </c>
      <c r="C286" s="12" t="s">
        <v>43</v>
      </c>
      <c r="D286" s="12" t="s">
        <v>155</v>
      </c>
      <c r="E286" s="12" t="s">
        <v>407</v>
      </c>
      <c r="F286" s="12" t="s">
        <v>176</v>
      </c>
      <c r="G286" s="12" t="s">
        <v>177</v>
      </c>
      <c r="H286" s="12" t="s">
        <v>46</v>
      </c>
      <c r="I286" s="12" t="n">
        <v>28</v>
      </c>
      <c r="J286" s="12" t="s">
        <v>40</v>
      </c>
      <c r="K286" s="12" t="s">
        <v>48</v>
      </c>
      <c r="L286" s="12" t="str">
        <f aca="false">IF(OR(H286="Severe",H286="Life-Threatening"),"Yes","No")</f>
        <v>No</v>
      </c>
      <c r="M286" s="12" t="str">
        <f aca="false">IF(B286&lt;18,"0-17",IF(B286&lt;40,"18-39",IF(B286&lt;60,"40-59","60+")))</f>
        <v>60+</v>
      </c>
      <c r="N286" s="12" t="str">
        <f aca="false">IF(I286&lt;=1,"0-1 days",IF(I286&lt;=7,"2-7 days",IF(I286&lt;=30,"8-30 days","&gt;30 days")))</f>
        <v>8-30 days</v>
      </c>
    </row>
    <row r="287" customFormat="false" ht="15" hidden="false" customHeight="false" outlineLevel="0" collapsed="false">
      <c r="A287" s="12" t="s">
        <v>515</v>
      </c>
      <c r="B287" s="12" t="n">
        <v>47</v>
      </c>
      <c r="C287" s="12" t="s">
        <v>43</v>
      </c>
      <c r="D287" s="12" t="s">
        <v>91</v>
      </c>
      <c r="E287" s="12" t="s">
        <v>268</v>
      </c>
      <c r="F287" s="12" t="s">
        <v>269</v>
      </c>
      <c r="G287" s="12" t="s">
        <v>38</v>
      </c>
      <c r="H287" s="12" t="s">
        <v>76</v>
      </c>
      <c r="I287" s="12" t="n">
        <v>5</v>
      </c>
      <c r="J287" s="12" t="s">
        <v>47</v>
      </c>
      <c r="K287" s="12" t="s">
        <v>63</v>
      </c>
      <c r="L287" s="12" t="str">
        <f aca="false">IF(OR(H287="Severe",H287="Life-Threatening"),"Yes","No")</f>
        <v>Yes</v>
      </c>
      <c r="M287" s="12" t="str">
        <f aca="false">IF(B287&lt;18,"0-17",IF(B287&lt;40,"18-39",IF(B287&lt;60,"40-59","60+")))</f>
        <v>40-59</v>
      </c>
      <c r="N287" s="12" t="str">
        <f aca="false">IF(I287&lt;=1,"0-1 days",IF(I287&lt;=7,"2-7 days",IF(I287&lt;=30,"8-30 days","&gt;30 days")))</f>
        <v>2-7 days</v>
      </c>
    </row>
    <row r="288" customFormat="false" ht="15" hidden="false" customHeight="false" outlineLevel="0" collapsed="false">
      <c r="A288" s="12" t="s">
        <v>516</v>
      </c>
      <c r="B288" s="12" t="n">
        <v>95</v>
      </c>
      <c r="C288" s="12" t="s">
        <v>43</v>
      </c>
      <c r="D288" s="12" t="s">
        <v>85</v>
      </c>
      <c r="E288" s="12" t="s">
        <v>272</v>
      </c>
      <c r="F288" s="12" t="s">
        <v>214</v>
      </c>
      <c r="G288" s="12" t="s">
        <v>115</v>
      </c>
      <c r="H288" s="12" t="s">
        <v>76</v>
      </c>
      <c r="I288" s="12" t="n">
        <v>25</v>
      </c>
      <c r="J288" s="12" t="s">
        <v>40</v>
      </c>
      <c r="K288" s="12" t="s">
        <v>48</v>
      </c>
      <c r="L288" s="12" t="str">
        <f aca="false">IF(OR(H288="Severe",H288="Life-Threatening"),"Yes","No")</f>
        <v>Yes</v>
      </c>
      <c r="M288" s="12" t="str">
        <f aca="false">IF(B288&lt;18,"0-17",IF(B288&lt;40,"18-39",IF(B288&lt;60,"40-59","60+")))</f>
        <v>60+</v>
      </c>
      <c r="N288" s="12" t="str">
        <f aca="false">IF(I288&lt;=1,"0-1 days",IF(I288&lt;=7,"2-7 days",IF(I288&lt;=30,"8-30 days","&gt;30 days")))</f>
        <v>8-30 days</v>
      </c>
    </row>
    <row r="289" customFormat="false" ht="15" hidden="false" customHeight="false" outlineLevel="0" collapsed="false">
      <c r="A289" s="12" t="s">
        <v>517</v>
      </c>
      <c r="B289" s="12" t="n">
        <v>73</v>
      </c>
      <c r="C289" s="12" t="s">
        <v>34</v>
      </c>
      <c r="D289" s="12" t="s">
        <v>231</v>
      </c>
      <c r="E289" s="12" t="s">
        <v>324</v>
      </c>
      <c r="F289" s="12" t="s">
        <v>45</v>
      </c>
      <c r="G289" s="12" t="s">
        <v>38</v>
      </c>
      <c r="H289" s="12" t="s">
        <v>46</v>
      </c>
      <c r="I289" s="12" t="n">
        <v>17</v>
      </c>
      <c r="J289" s="12" t="s">
        <v>40</v>
      </c>
      <c r="K289" s="12" t="s">
        <v>63</v>
      </c>
      <c r="L289" s="12" t="str">
        <f aca="false">IF(OR(H289="Severe",H289="Life-Threatening"),"Yes","No")</f>
        <v>No</v>
      </c>
      <c r="M289" s="12" t="str">
        <f aca="false">IF(B289&lt;18,"0-17",IF(B289&lt;40,"18-39",IF(B289&lt;60,"40-59","60+")))</f>
        <v>60+</v>
      </c>
      <c r="N289" s="12" t="str">
        <f aca="false">IF(I289&lt;=1,"0-1 days",IF(I289&lt;=7,"2-7 days",IF(I289&lt;=30,"8-30 days","&gt;30 days")))</f>
        <v>8-30 days</v>
      </c>
    </row>
    <row r="290" customFormat="false" ht="15" hidden="false" customHeight="false" outlineLevel="0" collapsed="false">
      <c r="A290" s="12" t="s">
        <v>518</v>
      </c>
      <c r="B290" s="12" t="n">
        <v>55</v>
      </c>
      <c r="C290" s="12" t="s">
        <v>43</v>
      </c>
      <c r="D290" s="12" t="s">
        <v>190</v>
      </c>
      <c r="E290" s="12" t="s">
        <v>110</v>
      </c>
      <c r="F290" s="12" t="s">
        <v>322</v>
      </c>
      <c r="G290" s="12" t="s">
        <v>53</v>
      </c>
      <c r="H290" s="12" t="s">
        <v>39</v>
      </c>
      <c r="I290" s="12" t="n">
        <v>18</v>
      </c>
      <c r="J290" s="12" t="s">
        <v>40</v>
      </c>
      <c r="K290" s="12" t="s">
        <v>147</v>
      </c>
      <c r="L290" s="12" t="str">
        <f aca="false">IF(OR(H290="Severe",H290="Life-Threatening"),"Yes","No")</f>
        <v>No</v>
      </c>
      <c r="M290" s="12" t="str">
        <f aca="false">IF(B290&lt;18,"0-17",IF(B290&lt;40,"18-39",IF(B290&lt;60,"40-59","60+")))</f>
        <v>40-59</v>
      </c>
      <c r="N290" s="12" t="str">
        <f aca="false">IF(I290&lt;=1,"0-1 days",IF(I290&lt;=7,"2-7 days",IF(I290&lt;=30,"8-30 days","&gt;30 days")))</f>
        <v>8-30 days</v>
      </c>
    </row>
    <row r="291" customFormat="false" ht="15" hidden="false" customHeight="false" outlineLevel="0" collapsed="false">
      <c r="A291" s="12" t="s">
        <v>519</v>
      </c>
      <c r="B291" s="12" t="n">
        <v>26</v>
      </c>
      <c r="C291" s="12" t="s">
        <v>43</v>
      </c>
      <c r="D291" s="12" t="s">
        <v>144</v>
      </c>
      <c r="E291" s="12" t="s">
        <v>86</v>
      </c>
      <c r="F291" s="12" t="s">
        <v>45</v>
      </c>
      <c r="G291" s="12" t="s">
        <v>38</v>
      </c>
      <c r="H291" s="12" t="s">
        <v>39</v>
      </c>
      <c r="I291" s="12" t="n">
        <v>4</v>
      </c>
      <c r="J291" s="12" t="s">
        <v>40</v>
      </c>
      <c r="K291" s="12" t="s">
        <v>63</v>
      </c>
      <c r="L291" s="12" t="str">
        <f aca="false">IF(OR(H291="Severe",H291="Life-Threatening"),"Yes","No")</f>
        <v>No</v>
      </c>
      <c r="M291" s="12" t="str">
        <f aca="false">IF(B291&lt;18,"0-17",IF(B291&lt;40,"18-39",IF(B291&lt;60,"40-59","60+")))</f>
        <v>18-39</v>
      </c>
      <c r="N291" s="12" t="str">
        <f aca="false">IF(I291&lt;=1,"0-1 days",IF(I291&lt;=7,"2-7 days",IF(I291&lt;=30,"8-30 days","&gt;30 days")))</f>
        <v>2-7 days</v>
      </c>
    </row>
    <row r="292" customFormat="false" ht="15" hidden="false" customHeight="false" outlineLevel="0" collapsed="false">
      <c r="A292" s="12" t="s">
        <v>520</v>
      </c>
      <c r="B292" s="12" t="n">
        <v>59</v>
      </c>
      <c r="C292" s="12" t="s">
        <v>34</v>
      </c>
      <c r="D292" s="12" t="s">
        <v>69</v>
      </c>
      <c r="E292" s="12" t="s">
        <v>268</v>
      </c>
      <c r="F292" s="12" t="s">
        <v>364</v>
      </c>
      <c r="G292" s="12" t="s">
        <v>38</v>
      </c>
      <c r="H292" s="12" t="s">
        <v>59</v>
      </c>
      <c r="I292" s="12" t="n">
        <v>4</v>
      </c>
      <c r="J292" s="12" t="s">
        <v>67</v>
      </c>
      <c r="K292" s="12" t="s">
        <v>48</v>
      </c>
      <c r="L292" s="12" t="str">
        <f aca="false">IF(OR(H292="Severe",H292="Life-Threatening"),"Yes","No")</f>
        <v>Yes</v>
      </c>
      <c r="M292" s="12" t="str">
        <f aca="false">IF(B292&lt;18,"0-17",IF(B292&lt;40,"18-39",IF(B292&lt;60,"40-59","60+")))</f>
        <v>40-59</v>
      </c>
      <c r="N292" s="12" t="str">
        <f aca="false">IF(I292&lt;=1,"0-1 days",IF(I292&lt;=7,"2-7 days",IF(I292&lt;=30,"8-30 days","&gt;30 days")))</f>
        <v>2-7 days</v>
      </c>
    </row>
    <row r="293" customFormat="false" ht="15" hidden="false" customHeight="false" outlineLevel="0" collapsed="false">
      <c r="A293" s="12" t="s">
        <v>521</v>
      </c>
      <c r="B293" s="12" t="n">
        <v>71</v>
      </c>
      <c r="C293" s="12" t="s">
        <v>43</v>
      </c>
      <c r="D293" s="12" t="s">
        <v>196</v>
      </c>
      <c r="E293" s="12" t="s">
        <v>307</v>
      </c>
      <c r="F293" s="12" t="s">
        <v>62</v>
      </c>
      <c r="G293" s="12" t="s">
        <v>53</v>
      </c>
      <c r="H293" s="12" t="s">
        <v>46</v>
      </c>
      <c r="I293" s="12" t="n">
        <v>19</v>
      </c>
      <c r="J293" s="12" t="s">
        <v>40</v>
      </c>
      <c r="K293" s="12" t="s">
        <v>147</v>
      </c>
      <c r="L293" s="12" t="str">
        <f aca="false">IF(OR(H293="Severe",H293="Life-Threatening"),"Yes","No")</f>
        <v>No</v>
      </c>
      <c r="M293" s="12" t="str">
        <f aca="false">IF(B293&lt;18,"0-17",IF(B293&lt;40,"18-39",IF(B293&lt;60,"40-59","60+")))</f>
        <v>60+</v>
      </c>
      <c r="N293" s="12" t="str">
        <f aca="false">IF(I293&lt;=1,"0-1 days",IF(I293&lt;=7,"2-7 days",IF(I293&lt;=30,"8-30 days","&gt;30 days")))</f>
        <v>8-30 days</v>
      </c>
    </row>
    <row r="294" customFormat="false" ht="15" hidden="false" customHeight="false" outlineLevel="0" collapsed="false">
      <c r="A294" s="12" t="s">
        <v>522</v>
      </c>
      <c r="B294" s="12" t="n">
        <v>51</v>
      </c>
      <c r="C294" s="12" t="s">
        <v>43</v>
      </c>
      <c r="D294" s="12" t="s">
        <v>50</v>
      </c>
      <c r="E294" s="12" t="s">
        <v>495</v>
      </c>
      <c r="F294" s="12" t="s">
        <v>364</v>
      </c>
      <c r="G294" s="12" t="s">
        <v>38</v>
      </c>
      <c r="H294" s="12" t="s">
        <v>59</v>
      </c>
      <c r="I294" s="12" t="n">
        <v>16</v>
      </c>
      <c r="J294" s="12" t="s">
        <v>40</v>
      </c>
      <c r="K294" s="12" t="s">
        <v>41</v>
      </c>
      <c r="L294" s="12" t="str">
        <f aca="false">IF(OR(H294="Severe",H294="Life-Threatening"),"Yes","No")</f>
        <v>Yes</v>
      </c>
      <c r="M294" s="12" t="str">
        <f aca="false">IF(B294&lt;18,"0-17",IF(B294&lt;40,"18-39",IF(B294&lt;60,"40-59","60+")))</f>
        <v>40-59</v>
      </c>
      <c r="N294" s="12" t="str">
        <f aca="false">IF(I294&lt;=1,"0-1 days",IF(I294&lt;=7,"2-7 days",IF(I294&lt;=30,"8-30 days","&gt;30 days")))</f>
        <v>8-30 days</v>
      </c>
    </row>
    <row r="295" customFormat="false" ht="15" hidden="false" customHeight="false" outlineLevel="0" collapsed="false">
      <c r="A295" s="12" t="s">
        <v>523</v>
      </c>
      <c r="B295" s="12" t="n">
        <v>38</v>
      </c>
      <c r="C295" s="12" t="s">
        <v>43</v>
      </c>
      <c r="D295" s="12" t="s">
        <v>50</v>
      </c>
      <c r="E295" s="12" t="s">
        <v>383</v>
      </c>
      <c r="F295" s="12" t="s">
        <v>235</v>
      </c>
      <c r="G295" s="12" t="s">
        <v>53</v>
      </c>
      <c r="H295" s="12" t="s">
        <v>46</v>
      </c>
      <c r="I295" s="12" t="n">
        <v>1</v>
      </c>
      <c r="J295" s="12" t="s">
        <v>47</v>
      </c>
      <c r="K295" s="12" t="s">
        <v>48</v>
      </c>
      <c r="L295" s="12" t="str">
        <f aca="false">IF(OR(H295="Severe",H295="Life-Threatening"),"Yes","No")</f>
        <v>No</v>
      </c>
      <c r="M295" s="12" t="str">
        <f aca="false">IF(B295&lt;18,"0-17",IF(B295&lt;40,"18-39",IF(B295&lt;60,"40-59","60+")))</f>
        <v>18-39</v>
      </c>
      <c r="N295" s="12" t="str">
        <f aca="false">IF(I295&lt;=1,"0-1 days",IF(I295&lt;=7,"2-7 days",IF(I295&lt;=30,"8-30 days","&gt;30 days")))</f>
        <v>0-1 days</v>
      </c>
    </row>
    <row r="296" customFormat="false" ht="15" hidden="false" customHeight="false" outlineLevel="0" collapsed="false">
      <c r="A296" s="12" t="s">
        <v>524</v>
      </c>
      <c r="B296" s="12" t="n">
        <v>40</v>
      </c>
      <c r="C296" s="12" t="s">
        <v>34</v>
      </c>
      <c r="D296" s="12" t="s">
        <v>123</v>
      </c>
      <c r="E296" s="12" t="s">
        <v>175</v>
      </c>
      <c r="F296" s="12" t="s">
        <v>176</v>
      </c>
      <c r="G296" s="12" t="s">
        <v>177</v>
      </c>
      <c r="H296" s="12" t="s">
        <v>59</v>
      </c>
      <c r="I296" s="12" t="n">
        <v>4</v>
      </c>
      <c r="J296" s="12" t="s">
        <v>40</v>
      </c>
      <c r="K296" s="12" t="s">
        <v>147</v>
      </c>
      <c r="L296" s="12" t="str">
        <f aca="false">IF(OR(H296="Severe",H296="Life-Threatening"),"Yes","No")</f>
        <v>Yes</v>
      </c>
      <c r="M296" s="12" t="str">
        <f aca="false">IF(B296&lt;18,"0-17",IF(B296&lt;40,"18-39",IF(B296&lt;60,"40-59","60+")))</f>
        <v>40-59</v>
      </c>
      <c r="N296" s="12" t="str">
        <f aca="false">IF(I296&lt;=1,"0-1 days",IF(I296&lt;=7,"2-7 days",IF(I296&lt;=30,"8-30 days","&gt;30 days")))</f>
        <v>2-7 days</v>
      </c>
    </row>
    <row r="297" customFormat="false" ht="15" hidden="false" customHeight="false" outlineLevel="0" collapsed="false">
      <c r="A297" s="12" t="s">
        <v>525</v>
      </c>
      <c r="B297" s="12" t="n">
        <v>50</v>
      </c>
      <c r="C297" s="12" t="s">
        <v>34</v>
      </c>
      <c r="D297" s="12" t="s">
        <v>35</v>
      </c>
      <c r="E297" s="12" t="s">
        <v>311</v>
      </c>
      <c r="F297" s="12" t="s">
        <v>442</v>
      </c>
      <c r="G297" s="12" t="s">
        <v>177</v>
      </c>
      <c r="H297" s="12" t="s">
        <v>76</v>
      </c>
      <c r="I297" s="12" t="n">
        <v>8</v>
      </c>
      <c r="J297" s="12" t="s">
        <v>40</v>
      </c>
      <c r="K297" s="12" t="s">
        <v>63</v>
      </c>
      <c r="L297" s="12" t="str">
        <f aca="false">IF(OR(H297="Severe",H297="Life-Threatening"),"Yes","No")</f>
        <v>Yes</v>
      </c>
      <c r="M297" s="12" t="str">
        <f aca="false">IF(B297&lt;18,"0-17",IF(B297&lt;40,"18-39",IF(B297&lt;60,"40-59","60+")))</f>
        <v>40-59</v>
      </c>
      <c r="N297" s="12" t="str">
        <f aca="false">IF(I297&lt;=1,"0-1 days",IF(I297&lt;=7,"2-7 days",IF(I297&lt;=30,"8-30 days","&gt;30 days")))</f>
        <v>8-30 days</v>
      </c>
    </row>
    <row r="298" customFormat="false" ht="15" hidden="false" customHeight="false" outlineLevel="0" collapsed="false">
      <c r="A298" s="12" t="s">
        <v>526</v>
      </c>
      <c r="B298" s="12" t="n">
        <v>59</v>
      </c>
      <c r="C298" s="12" t="s">
        <v>43</v>
      </c>
      <c r="D298" s="12" t="s">
        <v>112</v>
      </c>
      <c r="E298" s="12" t="s">
        <v>352</v>
      </c>
      <c r="F298" s="12" t="s">
        <v>171</v>
      </c>
      <c r="G298" s="12" t="s">
        <v>53</v>
      </c>
      <c r="H298" s="12" t="s">
        <v>46</v>
      </c>
      <c r="I298" s="12" t="n">
        <v>25</v>
      </c>
      <c r="J298" s="12" t="s">
        <v>40</v>
      </c>
      <c r="K298" s="12" t="s">
        <v>63</v>
      </c>
      <c r="L298" s="12" t="str">
        <f aca="false">IF(OR(H298="Severe",H298="Life-Threatening"),"Yes","No")</f>
        <v>No</v>
      </c>
      <c r="M298" s="12" t="str">
        <f aca="false">IF(B298&lt;18,"0-17",IF(B298&lt;40,"18-39",IF(B298&lt;60,"40-59","60+")))</f>
        <v>40-59</v>
      </c>
      <c r="N298" s="12" t="str">
        <f aca="false">IF(I298&lt;=1,"0-1 days",IF(I298&lt;=7,"2-7 days",IF(I298&lt;=30,"8-30 days","&gt;30 days")))</f>
        <v>8-30 days</v>
      </c>
    </row>
    <row r="299" customFormat="false" ht="15" hidden="false" customHeight="false" outlineLevel="0" collapsed="false">
      <c r="A299" s="12" t="s">
        <v>527</v>
      </c>
      <c r="B299" s="12" t="n">
        <v>20</v>
      </c>
      <c r="C299" s="12" t="s">
        <v>43</v>
      </c>
      <c r="D299" s="12" t="s">
        <v>35</v>
      </c>
      <c r="E299" s="12" t="s">
        <v>324</v>
      </c>
      <c r="F299" s="12" t="s">
        <v>45</v>
      </c>
      <c r="G299" s="12" t="s">
        <v>38</v>
      </c>
      <c r="H299" s="12" t="s">
        <v>39</v>
      </c>
      <c r="I299" s="12" t="n">
        <v>23</v>
      </c>
      <c r="J299" s="12" t="s">
        <v>40</v>
      </c>
      <c r="K299" s="12" t="s">
        <v>48</v>
      </c>
      <c r="L299" s="12" t="str">
        <f aca="false">IF(OR(H299="Severe",H299="Life-Threatening"),"Yes","No")</f>
        <v>No</v>
      </c>
      <c r="M299" s="12" t="str">
        <f aca="false">IF(B299&lt;18,"0-17",IF(B299&lt;40,"18-39",IF(B299&lt;60,"40-59","60+")))</f>
        <v>18-39</v>
      </c>
      <c r="N299" s="12" t="str">
        <f aca="false">IF(I299&lt;=1,"0-1 days",IF(I299&lt;=7,"2-7 days",IF(I299&lt;=30,"8-30 days","&gt;30 days")))</f>
        <v>8-30 days</v>
      </c>
    </row>
    <row r="300" customFormat="false" ht="15" hidden="false" customHeight="false" outlineLevel="0" collapsed="false">
      <c r="A300" s="12" t="s">
        <v>528</v>
      </c>
      <c r="B300" s="12" t="n">
        <v>75</v>
      </c>
      <c r="C300" s="12" t="s">
        <v>43</v>
      </c>
      <c r="D300" s="12" t="s">
        <v>69</v>
      </c>
      <c r="E300" s="12" t="s">
        <v>183</v>
      </c>
      <c r="F300" s="12" t="s">
        <v>325</v>
      </c>
      <c r="G300" s="12" t="s">
        <v>177</v>
      </c>
      <c r="H300" s="12" t="s">
        <v>39</v>
      </c>
      <c r="I300" s="12" t="n">
        <v>22</v>
      </c>
      <c r="J300" s="12" t="s">
        <v>40</v>
      </c>
      <c r="K300" s="12" t="s">
        <v>63</v>
      </c>
      <c r="L300" s="12" t="str">
        <f aca="false">IF(OR(H300="Severe",H300="Life-Threatening"),"Yes","No")</f>
        <v>No</v>
      </c>
      <c r="M300" s="12" t="str">
        <f aca="false">IF(B300&lt;18,"0-17",IF(B300&lt;40,"18-39",IF(B300&lt;60,"40-59","60+")))</f>
        <v>60+</v>
      </c>
      <c r="N300" s="12" t="str">
        <f aca="false">IF(I300&lt;=1,"0-1 days",IF(I300&lt;=7,"2-7 days",IF(I300&lt;=30,"8-30 days","&gt;30 days")))</f>
        <v>8-30 days</v>
      </c>
    </row>
    <row r="301" customFormat="false" ht="15" hidden="false" customHeight="false" outlineLevel="0" collapsed="false">
      <c r="A301" s="12" t="s">
        <v>529</v>
      </c>
      <c r="B301" s="12" t="n">
        <v>43</v>
      </c>
      <c r="C301" s="12" t="s">
        <v>43</v>
      </c>
      <c r="D301" s="12" t="s">
        <v>35</v>
      </c>
      <c r="E301" s="12" t="s">
        <v>530</v>
      </c>
      <c r="F301" s="12" t="s">
        <v>531</v>
      </c>
      <c r="G301" s="12" t="s">
        <v>94</v>
      </c>
      <c r="H301" s="12" t="s">
        <v>39</v>
      </c>
      <c r="I301" s="12" t="n">
        <v>26</v>
      </c>
      <c r="J301" s="12" t="s">
        <v>47</v>
      </c>
      <c r="K301" s="12" t="s">
        <v>48</v>
      </c>
      <c r="L301" s="12" t="str">
        <f aca="false">IF(OR(H301="Severe",H301="Life-Threatening"),"Yes","No")</f>
        <v>No</v>
      </c>
      <c r="M301" s="12" t="str">
        <f aca="false">IF(B301&lt;18,"0-17",IF(B301&lt;40,"18-39",IF(B301&lt;60,"40-59","60+")))</f>
        <v>40-59</v>
      </c>
      <c r="N301" s="12" t="str">
        <f aca="false">IF(I301&lt;=1,"0-1 days",IF(I301&lt;=7,"2-7 days",IF(I301&lt;=30,"8-30 days","&gt;30 days")))</f>
        <v>8-30 days</v>
      </c>
    </row>
    <row r="302" customFormat="false" ht="15" hidden="false" customHeight="false" outlineLevel="0" collapsed="false">
      <c r="A302" s="12" t="s">
        <v>532</v>
      </c>
      <c r="B302" s="12" t="n">
        <v>62</v>
      </c>
      <c r="C302" s="12" t="s">
        <v>34</v>
      </c>
      <c r="D302" s="12" t="s">
        <v>85</v>
      </c>
      <c r="E302" s="12" t="s">
        <v>383</v>
      </c>
      <c r="F302" s="12" t="s">
        <v>235</v>
      </c>
      <c r="G302" s="12" t="s">
        <v>53</v>
      </c>
      <c r="H302" s="12" t="s">
        <v>46</v>
      </c>
      <c r="I302" s="12" t="n">
        <v>22</v>
      </c>
      <c r="J302" s="12" t="s">
        <v>40</v>
      </c>
      <c r="K302" s="12" t="s">
        <v>41</v>
      </c>
      <c r="L302" s="12" t="str">
        <f aca="false">IF(OR(H302="Severe",H302="Life-Threatening"),"Yes","No")</f>
        <v>No</v>
      </c>
      <c r="M302" s="12" t="str">
        <f aca="false">IF(B302&lt;18,"0-17",IF(B302&lt;40,"18-39",IF(B302&lt;60,"40-59","60+")))</f>
        <v>60+</v>
      </c>
      <c r="N302" s="12" t="str">
        <f aca="false">IF(I302&lt;=1,"0-1 days",IF(I302&lt;=7,"2-7 days",IF(I302&lt;=30,"8-30 days","&gt;30 days")))</f>
        <v>8-30 days</v>
      </c>
    </row>
    <row r="303" customFormat="false" ht="15" hidden="false" customHeight="false" outlineLevel="0" collapsed="false">
      <c r="A303" s="12" t="s">
        <v>533</v>
      </c>
      <c r="B303" s="12" t="n">
        <v>18</v>
      </c>
      <c r="C303" s="12" t="s">
        <v>34</v>
      </c>
      <c r="D303" s="12" t="s">
        <v>55</v>
      </c>
      <c r="E303" s="12" t="s">
        <v>51</v>
      </c>
      <c r="F303" s="12" t="s">
        <v>52</v>
      </c>
      <c r="G303" s="12" t="s">
        <v>53</v>
      </c>
      <c r="H303" s="12" t="s">
        <v>59</v>
      </c>
      <c r="I303" s="12" t="n">
        <v>16</v>
      </c>
      <c r="J303" s="12" t="s">
        <v>67</v>
      </c>
      <c r="K303" s="12" t="s">
        <v>48</v>
      </c>
      <c r="L303" s="12" t="str">
        <f aca="false">IF(OR(H303="Severe",H303="Life-Threatening"),"Yes","No")</f>
        <v>Yes</v>
      </c>
      <c r="M303" s="12" t="str">
        <f aca="false">IF(B303&lt;18,"0-17",IF(B303&lt;40,"18-39",IF(B303&lt;60,"40-59","60+")))</f>
        <v>18-39</v>
      </c>
      <c r="N303" s="12" t="str">
        <f aca="false">IF(I303&lt;=1,"0-1 days",IF(I303&lt;=7,"2-7 days",IF(I303&lt;=30,"8-30 days","&gt;30 days")))</f>
        <v>8-30 days</v>
      </c>
    </row>
    <row r="304" customFormat="false" ht="15" hidden="false" customHeight="false" outlineLevel="0" collapsed="false">
      <c r="A304" s="12" t="s">
        <v>534</v>
      </c>
      <c r="B304" s="12" t="n">
        <v>65</v>
      </c>
      <c r="C304" s="12" t="s">
        <v>43</v>
      </c>
      <c r="D304" s="12" t="s">
        <v>50</v>
      </c>
      <c r="E304" s="12" t="s">
        <v>150</v>
      </c>
      <c r="F304" s="12" t="s">
        <v>151</v>
      </c>
      <c r="G304" s="12" t="s">
        <v>152</v>
      </c>
      <c r="H304" s="12" t="s">
        <v>39</v>
      </c>
      <c r="I304" s="12" t="n">
        <v>1</v>
      </c>
      <c r="J304" s="12" t="s">
        <v>47</v>
      </c>
      <c r="K304" s="12" t="s">
        <v>63</v>
      </c>
      <c r="L304" s="12" t="str">
        <f aca="false">IF(OR(H304="Severe",H304="Life-Threatening"),"Yes","No")</f>
        <v>No</v>
      </c>
      <c r="M304" s="12" t="str">
        <f aca="false">IF(B304&lt;18,"0-17",IF(B304&lt;40,"18-39",IF(B304&lt;60,"40-59","60+")))</f>
        <v>60+</v>
      </c>
      <c r="N304" s="12" t="str">
        <f aca="false">IF(I304&lt;=1,"0-1 days",IF(I304&lt;=7,"2-7 days",IF(I304&lt;=30,"8-30 days","&gt;30 days")))</f>
        <v>0-1 days</v>
      </c>
    </row>
    <row r="305" customFormat="false" ht="15" hidden="false" customHeight="false" outlineLevel="0" collapsed="false">
      <c r="A305" s="12" t="s">
        <v>535</v>
      </c>
      <c r="B305" s="12" t="n">
        <v>78</v>
      </c>
      <c r="C305" s="12" t="s">
        <v>43</v>
      </c>
      <c r="D305" s="12" t="s">
        <v>163</v>
      </c>
      <c r="E305" s="12" t="s">
        <v>121</v>
      </c>
      <c r="F305" s="12" t="s">
        <v>45</v>
      </c>
      <c r="G305" s="12" t="s">
        <v>38</v>
      </c>
      <c r="H305" s="12" t="s">
        <v>46</v>
      </c>
      <c r="I305" s="12" t="n">
        <v>6</v>
      </c>
      <c r="J305" s="12" t="s">
        <v>40</v>
      </c>
      <c r="K305" s="12" t="s">
        <v>63</v>
      </c>
      <c r="L305" s="12" t="str">
        <f aca="false">IF(OR(H305="Severe",H305="Life-Threatening"),"Yes","No")</f>
        <v>No</v>
      </c>
      <c r="M305" s="12" t="str">
        <f aca="false">IF(B305&lt;18,"0-17",IF(B305&lt;40,"18-39",IF(B305&lt;60,"40-59","60+")))</f>
        <v>60+</v>
      </c>
      <c r="N305" s="12" t="str">
        <f aca="false">IF(I305&lt;=1,"0-1 days",IF(I305&lt;=7,"2-7 days",IF(I305&lt;=30,"8-30 days","&gt;30 days")))</f>
        <v>2-7 days</v>
      </c>
    </row>
    <row r="306" customFormat="false" ht="15" hidden="false" customHeight="false" outlineLevel="0" collapsed="false">
      <c r="A306" s="12" t="s">
        <v>536</v>
      </c>
      <c r="B306" s="12" t="n">
        <v>61</v>
      </c>
      <c r="C306" s="12" t="s">
        <v>43</v>
      </c>
      <c r="D306" s="12" t="s">
        <v>190</v>
      </c>
      <c r="E306" s="12" t="s">
        <v>266</v>
      </c>
      <c r="F306" s="12" t="s">
        <v>103</v>
      </c>
      <c r="G306" s="12" t="s">
        <v>104</v>
      </c>
      <c r="H306" s="12" t="s">
        <v>39</v>
      </c>
      <c r="I306" s="12" t="n">
        <v>17</v>
      </c>
      <c r="J306" s="12" t="s">
        <v>169</v>
      </c>
      <c r="K306" s="12" t="s">
        <v>48</v>
      </c>
      <c r="L306" s="12" t="str">
        <f aca="false">IF(OR(H306="Severe",H306="Life-Threatening"),"Yes","No")</f>
        <v>No</v>
      </c>
      <c r="M306" s="12" t="str">
        <f aca="false">IF(B306&lt;18,"0-17",IF(B306&lt;40,"18-39",IF(B306&lt;60,"40-59","60+")))</f>
        <v>60+</v>
      </c>
      <c r="N306" s="12" t="str">
        <f aca="false">IF(I306&lt;=1,"0-1 days",IF(I306&lt;=7,"2-7 days",IF(I306&lt;=30,"8-30 days","&gt;30 days")))</f>
        <v>8-30 days</v>
      </c>
    </row>
    <row r="307" customFormat="false" ht="15" hidden="false" customHeight="false" outlineLevel="0" collapsed="false">
      <c r="A307" s="12" t="s">
        <v>537</v>
      </c>
      <c r="B307" s="12" t="n">
        <v>37</v>
      </c>
      <c r="C307" s="12" t="s">
        <v>43</v>
      </c>
      <c r="D307" s="12" t="s">
        <v>35</v>
      </c>
      <c r="E307" s="12" t="s">
        <v>538</v>
      </c>
      <c r="F307" s="12" t="s">
        <v>257</v>
      </c>
      <c r="G307" s="12" t="s">
        <v>80</v>
      </c>
      <c r="H307" s="12" t="s">
        <v>76</v>
      </c>
      <c r="I307" s="12" t="n">
        <v>15</v>
      </c>
      <c r="J307" s="12" t="s">
        <v>47</v>
      </c>
      <c r="K307" s="12" t="s">
        <v>63</v>
      </c>
      <c r="L307" s="12" t="str">
        <f aca="false">IF(OR(H307="Severe",H307="Life-Threatening"),"Yes","No")</f>
        <v>Yes</v>
      </c>
      <c r="M307" s="12" t="str">
        <f aca="false">IF(B307&lt;18,"0-17",IF(B307&lt;40,"18-39",IF(B307&lt;60,"40-59","60+")))</f>
        <v>18-39</v>
      </c>
      <c r="N307" s="12" t="str">
        <f aca="false">IF(I307&lt;=1,"0-1 days",IF(I307&lt;=7,"2-7 days",IF(I307&lt;=30,"8-30 days","&gt;30 days")))</f>
        <v>8-30 days</v>
      </c>
    </row>
    <row r="308" customFormat="false" ht="15" hidden="false" customHeight="false" outlineLevel="0" collapsed="false">
      <c r="A308" s="12" t="s">
        <v>539</v>
      </c>
      <c r="B308" s="12" t="n">
        <v>34</v>
      </c>
      <c r="C308" s="12" t="s">
        <v>34</v>
      </c>
      <c r="D308" s="12" t="s">
        <v>55</v>
      </c>
      <c r="E308" s="12" t="s">
        <v>56</v>
      </c>
      <c r="F308" s="12" t="s">
        <v>57</v>
      </c>
      <c r="G308" s="12" t="s">
        <v>58</v>
      </c>
      <c r="H308" s="12" t="s">
        <v>76</v>
      </c>
      <c r="I308" s="12" t="n">
        <v>1</v>
      </c>
      <c r="J308" s="12" t="s">
        <v>169</v>
      </c>
      <c r="K308" s="12" t="s">
        <v>63</v>
      </c>
      <c r="L308" s="12" t="str">
        <f aca="false">IF(OR(H308="Severe",H308="Life-Threatening"),"Yes","No")</f>
        <v>Yes</v>
      </c>
      <c r="M308" s="12" t="str">
        <f aca="false">IF(B308&lt;18,"0-17",IF(B308&lt;40,"18-39",IF(B308&lt;60,"40-59","60+")))</f>
        <v>18-39</v>
      </c>
      <c r="N308" s="12" t="str">
        <f aca="false">IF(I308&lt;=1,"0-1 days",IF(I308&lt;=7,"2-7 days",IF(I308&lt;=30,"8-30 days","&gt;30 days")))</f>
        <v>0-1 days</v>
      </c>
    </row>
    <row r="309" customFormat="false" ht="15" hidden="false" customHeight="false" outlineLevel="0" collapsed="false">
      <c r="A309" s="12" t="s">
        <v>540</v>
      </c>
      <c r="B309" s="12" t="n">
        <v>67</v>
      </c>
      <c r="C309" s="12" t="s">
        <v>43</v>
      </c>
      <c r="D309" s="12" t="s">
        <v>35</v>
      </c>
      <c r="E309" s="12" t="s">
        <v>74</v>
      </c>
      <c r="F309" s="12" t="s">
        <v>214</v>
      </c>
      <c r="G309" s="12" t="s">
        <v>115</v>
      </c>
      <c r="H309" s="12" t="s">
        <v>46</v>
      </c>
      <c r="I309" s="12" t="n">
        <v>24</v>
      </c>
      <c r="J309" s="12" t="s">
        <v>47</v>
      </c>
      <c r="K309" s="12" t="s">
        <v>41</v>
      </c>
      <c r="L309" s="12" t="str">
        <f aca="false">IF(OR(H309="Severe",H309="Life-Threatening"),"Yes","No")</f>
        <v>No</v>
      </c>
      <c r="M309" s="12" t="str">
        <f aca="false">IF(B309&lt;18,"0-17",IF(B309&lt;40,"18-39",IF(B309&lt;60,"40-59","60+")))</f>
        <v>60+</v>
      </c>
      <c r="N309" s="12" t="str">
        <f aca="false">IF(I309&lt;=1,"0-1 days",IF(I309&lt;=7,"2-7 days",IF(I309&lt;=30,"8-30 days","&gt;30 days")))</f>
        <v>8-30 days</v>
      </c>
    </row>
    <row r="310" customFormat="false" ht="15" hidden="false" customHeight="false" outlineLevel="0" collapsed="false">
      <c r="A310" s="12" t="s">
        <v>541</v>
      </c>
      <c r="B310" s="12" t="n">
        <v>36</v>
      </c>
      <c r="C310" s="12" t="s">
        <v>34</v>
      </c>
      <c r="D310" s="12" t="s">
        <v>163</v>
      </c>
      <c r="E310" s="12" t="s">
        <v>239</v>
      </c>
      <c r="F310" s="12" t="s">
        <v>249</v>
      </c>
      <c r="G310" s="12" t="s">
        <v>152</v>
      </c>
      <c r="H310" s="12" t="s">
        <v>39</v>
      </c>
      <c r="I310" s="12" t="n">
        <v>9</v>
      </c>
      <c r="J310" s="12" t="s">
        <v>40</v>
      </c>
      <c r="K310" s="12" t="s">
        <v>63</v>
      </c>
      <c r="L310" s="12" t="str">
        <f aca="false">IF(OR(H310="Severe",H310="Life-Threatening"),"Yes","No")</f>
        <v>No</v>
      </c>
      <c r="M310" s="12" t="str">
        <f aca="false">IF(B310&lt;18,"0-17",IF(B310&lt;40,"18-39",IF(B310&lt;60,"40-59","60+")))</f>
        <v>18-39</v>
      </c>
      <c r="N310" s="12" t="str">
        <f aca="false">IF(I310&lt;=1,"0-1 days",IF(I310&lt;=7,"2-7 days",IF(I310&lt;=30,"8-30 days","&gt;30 days")))</f>
        <v>8-30 days</v>
      </c>
    </row>
    <row r="311" customFormat="false" ht="15" hidden="false" customHeight="false" outlineLevel="0" collapsed="false">
      <c r="A311" s="12" t="s">
        <v>542</v>
      </c>
      <c r="B311" s="12" t="n">
        <v>37</v>
      </c>
      <c r="C311" s="12" t="s">
        <v>43</v>
      </c>
      <c r="D311" s="12" t="s">
        <v>69</v>
      </c>
      <c r="E311" s="12" t="s">
        <v>332</v>
      </c>
      <c r="F311" s="12" t="s">
        <v>333</v>
      </c>
      <c r="G311" s="12" t="s">
        <v>104</v>
      </c>
      <c r="H311" s="12" t="s">
        <v>76</v>
      </c>
      <c r="I311" s="12" t="n">
        <v>28</v>
      </c>
      <c r="J311" s="12" t="s">
        <v>40</v>
      </c>
      <c r="K311" s="12" t="s">
        <v>48</v>
      </c>
      <c r="L311" s="12" t="str">
        <f aca="false">IF(OR(H311="Severe",H311="Life-Threatening"),"Yes","No")</f>
        <v>Yes</v>
      </c>
      <c r="M311" s="12" t="str">
        <f aca="false">IF(B311&lt;18,"0-17",IF(B311&lt;40,"18-39",IF(B311&lt;60,"40-59","60+")))</f>
        <v>18-39</v>
      </c>
      <c r="N311" s="12" t="str">
        <f aca="false">IF(I311&lt;=1,"0-1 days",IF(I311&lt;=7,"2-7 days",IF(I311&lt;=30,"8-30 days","&gt;30 days")))</f>
        <v>8-30 days</v>
      </c>
    </row>
    <row r="312" customFormat="false" ht="15" hidden="false" customHeight="false" outlineLevel="0" collapsed="false">
      <c r="A312" s="12" t="s">
        <v>543</v>
      </c>
      <c r="B312" s="12" t="n">
        <v>31</v>
      </c>
      <c r="C312" s="12" t="s">
        <v>34</v>
      </c>
      <c r="D312" s="12" t="s">
        <v>35</v>
      </c>
      <c r="E312" s="12" t="s">
        <v>74</v>
      </c>
      <c r="F312" s="12" t="s">
        <v>75</v>
      </c>
      <c r="G312" s="12" t="s">
        <v>58</v>
      </c>
      <c r="H312" s="12" t="s">
        <v>59</v>
      </c>
      <c r="I312" s="12" t="n">
        <v>0</v>
      </c>
      <c r="J312" s="12" t="s">
        <v>105</v>
      </c>
      <c r="K312" s="12" t="s">
        <v>63</v>
      </c>
      <c r="L312" s="12" t="str">
        <f aca="false">IF(OR(H312="Severe",H312="Life-Threatening"),"Yes","No")</f>
        <v>Yes</v>
      </c>
      <c r="M312" s="12" t="str">
        <f aca="false">IF(B312&lt;18,"0-17",IF(B312&lt;40,"18-39",IF(B312&lt;60,"40-59","60+")))</f>
        <v>18-39</v>
      </c>
      <c r="N312" s="12" t="str">
        <f aca="false">IF(I312&lt;=1,"0-1 days",IF(I312&lt;=7,"2-7 days",IF(I312&lt;=30,"8-30 days","&gt;30 days")))</f>
        <v>0-1 days</v>
      </c>
    </row>
    <row r="313" customFormat="false" ht="15" hidden="false" customHeight="false" outlineLevel="0" collapsed="false">
      <c r="A313" s="12" t="s">
        <v>544</v>
      </c>
      <c r="B313" s="12" t="n">
        <v>53</v>
      </c>
      <c r="C313" s="12" t="s">
        <v>43</v>
      </c>
      <c r="D313" s="12" t="s">
        <v>102</v>
      </c>
      <c r="E313" s="12" t="s">
        <v>175</v>
      </c>
      <c r="F313" s="12" t="s">
        <v>176</v>
      </c>
      <c r="G313" s="12" t="s">
        <v>177</v>
      </c>
      <c r="H313" s="12" t="s">
        <v>39</v>
      </c>
      <c r="I313" s="12" t="n">
        <v>2</v>
      </c>
      <c r="J313" s="12" t="s">
        <v>40</v>
      </c>
      <c r="K313" s="12" t="s">
        <v>48</v>
      </c>
      <c r="L313" s="12" t="str">
        <f aca="false">IF(OR(H313="Severe",H313="Life-Threatening"),"Yes","No")</f>
        <v>No</v>
      </c>
      <c r="M313" s="12" t="str">
        <f aca="false">IF(B313&lt;18,"0-17",IF(B313&lt;40,"18-39",IF(B313&lt;60,"40-59","60+")))</f>
        <v>40-59</v>
      </c>
      <c r="N313" s="12" t="str">
        <f aca="false">IF(I313&lt;=1,"0-1 days",IF(I313&lt;=7,"2-7 days",IF(I313&lt;=30,"8-30 days","&gt;30 days")))</f>
        <v>2-7 days</v>
      </c>
    </row>
    <row r="314" customFormat="false" ht="15" hidden="false" customHeight="false" outlineLevel="0" collapsed="false">
      <c r="A314" s="12" t="s">
        <v>545</v>
      </c>
      <c r="B314" s="12" t="n">
        <v>58</v>
      </c>
      <c r="C314" s="12" t="s">
        <v>34</v>
      </c>
      <c r="D314" s="12" t="s">
        <v>155</v>
      </c>
      <c r="E314" s="12" t="s">
        <v>78</v>
      </c>
      <c r="F314" s="12" t="s">
        <v>403</v>
      </c>
      <c r="G314" s="12" t="s">
        <v>80</v>
      </c>
      <c r="H314" s="12" t="s">
        <v>46</v>
      </c>
      <c r="I314" s="12" t="n">
        <v>2</v>
      </c>
      <c r="J314" s="12" t="s">
        <v>47</v>
      </c>
      <c r="K314" s="12" t="s">
        <v>48</v>
      </c>
      <c r="L314" s="12" t="str">
        <f aca="false">IF(OR(H314="Severe",H314="Life-Threatening"),"Yes","No")</f>
        <v>No</v>
      </c>
      <c r="M314" s="12" t="str">
        <f aca="false">IF(B314&lt;18,"0-17",IF(B314&lt;40,"18-39",IF(B314&lt;60,"40-59","60+")))</f>
        <v>40-59</v>
      </c>
      <c r="N314" s="12" t="str">
        <f aca="false">IF(I314&lt;=1,"0-1 days",IF(I314&lt;=7,"2-7 days",IF(I314&lt;=30,"8-30 days","&gt;30 days")))</f>
        <v>2-7 days</v>
      </c>
    </row>
    <row r="315" customFormat="false" ht="15" hidden="false" customHeight="false" outlineLevel="0" collapsed="false">
      <c r="A315" s="12" t="s">
        <v>546</v>
      </c>
      <c r="B315" s="12" t="n">
        <v>43</v>
      </c>
      <c r="C315" s="12" t="s">
        <v>43</v>
      </c>
      <c r="D315" s="12" t="s">
        <v>123</v>
      </c>
      <c r="E315" s="12" t="s">
        <v>65</v>
      </c>
      <c r="F315" s="12" t="s">
        <v>237</v>
      </c>
      <c r="G315" s="12" t="s">
        <v>80</v>
      </c>
      <c r="H315" s="12" t="s">
        <v>76</v>
      </c>
      <c r="I315" s="12" t="n">
        <v>35</v>
      </c>
      <c r="J315" s="12" t="s">
        <v>47</v>
      </c>
      <c r="K315" s="12" t="s">
        <v>147</v>
      </c>
      <c r="L315" s="12" t="str">
        <f aca="false">IF(OR(H315="Severe",H315="Life-Threatening"),"Yes","No")</f>
        <v>Yes</v>
      </c>
      <c r="M315" s="12" t="str">
        <f aca="false">IF(B315&lt;18,"0-17",IF(B315&lt;40,"18-39",IF(B315&lt;60,"40-59","60+")))</f>
        <v>40-59</v>
      </c>
      <c r="N315" s="12" t="str">
        <f aca="false">IF(I315&lt;=1,"0-1 days",IF(I315&lt;=7,"2-7 days",IF(I315&lt;=30,"8-30 days","&gt;30 days")))</f>
        <v>&gt;30 days</v>
      </c>
    </row>
    <row r="316" customFormat="false" ht="15" hidden="false" customHeight="false" outlineLevel="0" collapsed="false">
      <c r="A316" s="12" t="s">
        <v>547</v>
      </c>
      <c r="B316" s="12" t="n">
        <v>88</v>
      </c>
      <c r="C316" s="12" t="s">
        <v>43</v>
      </c>
      <c r="D316" s="12" t="s">
        <v>69</v>
      </c>
      <c r="E316" s="12" t="s">
        <v>241</v>
      </c>
      <c r="F316" s="12" t="s">
        <v>135</v>
      </c>
      <c r="G316" s="12" t="s">
        <v>136</v>
      </c>
      <c r="H316" s="12" t="s">
        <v>46</v>
      </c>
      <c r="I316" s="12" t="n">
        <v>9</v>
      </c>
      <c r="J316" s="12" t="s">
        <v>40</v>
      </c>
      <c r="K316" s="12" t="s">
        <v>48</v>
      </c>
      <c r="L316" s="12" t="str">
        <f aca="false">IF(OR(H316="Severe",H316="Life-Threatening"),"Yes","No")</f>
        <v>No</v>
      </c>
      <c r="M316" s="12" t="str">
        <f aca="false">IF(B316&lt;18,"0-17",IF(B316&lt;40,"18-39",IF(B316&lt;60,"40-59","60+")))</f>
        <v>60+</v>
      </c>
      <c r="N316" s="12" t="str">
        <f aca="false">IF(I316&lt;=1,"0-1 days",IF(I316&lt;=7,"2-7 days",IF(I316&lt;=30,"8-30 days","&gt;30 days")))</f>
        <v>8-30 days</v>
      </c>
    </row>
    <row r="317" customFormat="false" ht="15" hidden="false" customHeight="false" outlineLevel="0" collapsed="false">
      <c r="A317" s="12" t="s">
        <v>548</v>
      </c>
      <c r="B317" s="12" t="n">
        <v>72</v>
      </c>
      <c r="C317" s="12" t="s">
        <v>43</v>
      </c>
      <c r="D317" s="12" t="s">
        <v>35</v>
      </c>
      <c r="E317" s="12" t="s">
        <v>239</v>
      </c>
      <c r="F317" s="12" t="s">
        <v>249</v>
      </c>
      <c r="G317" s="12" t="s">
        <v>152</v>
      </c>
      <c r="H317" s="12" t="s">
        <v>46</v>
      </c>
      <c r="I317" s="12" t="n">
        <v>25</v>
      </c>
      <c r="J317" s="12" t="s">
        <v>47</v>
      </c>
      <c r="K317" s="12" t="s">
        <v>48</v>
      </c>
      <c r="L317" s="12" t="str">
        <f aca="false">IF(OR(H317="Severe",H317="Life-Threatening"),"Yes","No")</f>
        <v>No</v>
      </c>
      <c r="M317" s="12" t="str">
        <f aca="false">IF(B317&lt;18,"0-17",IF(B317&lt;40,"18-39",IF(B317&lt;60,"40-59","60+")))</f>
        <v>60+</v>
      </c>
      <c r="N317" s="12" t="str">
        <f aca="false">IF(I317&lt;=1,"0-1 days",IF(I317&lt;=7,"2-7 days",IF(I317&lt;=30,"8-30 days","&gt;30 days")))</f>
        <v>8-30 days</v>
      </c>
    </row>
    <row r="318" customFormat="false" ht="15" hidden="false" customHeight="false" outlineLevel="0" collapsed="false">
      <c r="A318" s="12" t="s">
        <v>549</v>
      </c>
      <c r="B318" s="12" t="n">
        <v>67</v>
      </c>
      <c r="C318" s="12" t="s">
        <v>43</v>
      </c>
      <c r="D318" s="12" t="s">
        <v>168</v>
      </c>
      <c r="E318" s="12" t="s">
        <v>454</v>
      </c>
      <c r="F318" s="12" t="s">
        <v>45</v>
      </c>
      <c r="G318" s="12" t="s">
        <v>38</v>
      </c>
      <c r="H318" s="12" t="s">
        <v>39</v>
      </c>
      <c r="I318" s="12" t="n">
        <v>26</v>
      </c>
      <c r="J318" s="12" t="s">
        <v>40</v>
      </c>
      <c r="K318" s="12" t="s">
        <v>147</v>
      </c>
      <c r="L318" s="12" t="str">
        <f aca="false">IF(OR(H318="Severe",H318="Life-Threatening"),"Yes","No")</f>
        <v>No</v>
      </c>
      <c r="M318" s="12" t="str">
        <f aca="false">IF(B318&lt;18,"0-17",IF(B318&lt;40,"18-39",IF(B318&lt;60,"40-59","60+")))</f>
        <v>60+</v>
      </c>
      <c r="N318" s="12" t="str">
        <f aca="false">IF(I318&lt;=1,"0-1 days",IF(I318&lt;=7,"2-7 days",IF(I318&lt;=30,"8-30 days","&gt;30 days")))</f>
        <v>8-30 days</v>
      </c>
    </row>
    <row r="319" customFormat="false" ht="15" hidden="false" customHeight="false" outlineLevel="0" collapsed="false">
      <c r="A319" s="12" t="s">
        <v>550</v>
      </c>
      <c r="B319" s="12" t="n">
        <v>54</v>
      </c>
      <c r="C319" s="12" t="s">
        <v>43</v>
      </c>
      <c r="D319" s="12" t="s">
        <v>55</v>
      </c>
      <c r="E319" s="12" t="s">
        <v>386</v>
      </c>
      <c r="F319" s="12" t="s">
        <v>62</v>
      </c>
      <c r="G319" s="12" t="s">
        <v>53</v>
      </c>
      <c r="H319" s="12" t="s">
        <v>39</v>
      </c>
      <c r="I319" s="12" t="n">
        <v>1</v>
      </c>
      <c r="J319" s="12" t="s">
        <v>47</v>
      </c>
      <c r="K319" s="12" t="s">
        <v>48</v>
      </c>
      <c r="L319" s="12" t="str">
        <f aca="false">IF(OR(H319="Severe",H319="Life-Threatening"),"Yes","No")</f>
        <v>No</v>
      </c>
      <c r="M319" s="12" t="str">
        <f aca="false">IF(B319&lt;18,"0-17",IF(B319&lt;40,"18-39",IF(B319&lt;60,"40-59","60+")))</f>
        <v>40-59</v>
      </c>
      <c r="N319" s="12" t="str">
        <f aca="false">IF(I319&lt;=1,"0-1 days",IF(I319&lt;=7,"2-7 days",IF(I319&lt;=30,"8-30 days","&gt;30 days")))</f>
        <v>0-1 days</v>
      </c>
    </row>
    <row r="320" customFormat="false" ht="15" hidden="false" customHeight="false" outlineLevel="0" collapsed="false">
      <c r="A320" s="12" t="s">
        <v>551</v>
      </c>
      <c r="B320" s="12" t="n">
        <v>65</v>
      </c>
      <c r="C320" s="12" t="s">
        <v>43</v>
      </c>
      <c r="D320" s="12" t="s">
        <v>50</v>
      </c>
      <c r="E320" s="12" t="s">
        <v>383</v>
      </c>
      <c r="F320" s="12" t="s">
        <v>235</v>
      </c>
      <c r="G320" s="12" t="s">
        <v>53</v>
      </c>
      <c r="H320" s="12" t="s">
        <v>76</v>
      </c>
      <c r="I320" s="12" t="n">
        <v>29</v>
      </c>
      <c r="J320" s="12" t="s">
        <v>40</v>
      </c>
      <c r="K320" s="12" t="s">
        <v>63</v>
      </c>
      <c r="L320" s="12" t="str">
        <f aca="false">IF(OR(H320="Severe",H320="Life-Threatening"),"Yes","No")</f>
        <v>Yes</v>
      </c>
      <c r="M320" s="12" t="str">
        <f aca="false">IF(B320&lt;18,"0-17",IF(B320&lt;40,"18-39",IF(B320&lt;60,"40-59","60+")))</f>
        <v>60+</v>
      </c>
      <c r="N320" s="12" t="str">
        <f aca="false">IF(I320&lt;=1,"0-1 days",IF(I320&lt;=7,"2-7 days",IF(I320&lt;=30,"8-30 days","&gt;30 days")))</f>
        <v>8-30 days</v>
      </c>
    </row>
    <row r="321" customFormat="false" ht="15" hidden="false" customHeight="false" outlineLevel="0" collapsed="false">
      <c r="A321" s="12" t="s">
        <v>552</v>
      </c>
      <c r="B321" s="12" t="n">
        <v>51</v>
      </c>
      <c r="C321" s="12" t="s">
        <v>43</v>
      </c>
      <c r="D321" s="12" t="s">
        <v>102</v>
      </c>
      <c r="E321" s="12" t="s">
        <v>181</v>
      </c>
      <c r="F321" s="12" t="s">
        <v>506</v>
      </c>
      <c r="G321" s="12" t="s">
        <v>94</v>
      </c>
      <c r="H321" s="12" t="s">
        <v>76</v>
      </c>
      <c r="I321" s="12" t="n">
        <v>27</v>
      </c>
      <c r="J321" s="12" t="s">
        <v>67</v>
      </c>
      <c r="K321" s="12" t="s">
        <v>63</v>
      </c>
      <c r="L321" s="12" t="str">
        <f aca="false">IF(OR(H321="Severe",H321="Life-Threatening"),"Yes","No")</f>
        <v>Yes</v>
      </c>
      <c r="M321" s="12" t="str">
        <f aca="false">IF(B321&lt;18,"0-17",IF(B321&lt;40,"18-39",IF(B321&lt;60,"40-59","60+")))</f>
        <v>40-59</v>
      </c>
      <c r="N321" s="12" t="str">
        <f aca="false">IF(I321&lt;=1,"0-1 days",IF(I321&lt;=7,"2-7 days",IF(I321&lt;=30,"8-30 days","&gt;30 days")))</f>
        <v>8-30 days</v>
      </c>
    </row>
    <row r="322" customFormat="false" ht="15" hidden="false" customHeight="false" outlineLevel="0" collapsed="false">
      <c r="A322" s="12" t="s">
        <v>553</v>
      </c>
      <c r="B322" s="12" t="n">
        <v>46</v>
      </c>
      <c r="C322" s="12" t="s">
        <v>34</v>
      </c>
      <c r="D322" s="12" t="s">
        <v>474</v>
      </c>
      <c r="E322" s="12" t="s">
        <v>51</v>
      </c>
      <c r="F322" s="12" t="s">
        <v>145</v>
      </c>
      <c r="G322" s="12" t="s">
        <v>146</v>
      </c>
      <c r="H322" s="12" t="s">
        <v>76</v>
      </c>
      <c r="I322" s="12" t="n">
        <v>15</v>
      </c>
      <c r="J322" s="12" t="s">
        <v>169</v>
      </c>
      <c r="K322" s="12" t="s">
        <v>48</v>
      </c>
      <c r="L322" s="12" t="str">
        <f aca="false">IF(OR(H322="Severe",H322="Life-Threatening"),"Yes","No")</f>
        <v>Yes</v>
      </c>
      <c r="M322" s="12" t="str">
        <f aca="false">IF(B322&lt;18,"0-17",IF(B322&lt;40,"18-39",IF(B322&lt;60,"40-59","60+")))</f>
        <v>40-59</v>
      </c>
      <c r="N322" s="12" t="str">
        <f aca="false">IF(I322&lt;=1,"0-1 days",IF(I322&lt;=7,"2-7 days",IF(I322&lt;=30,"8-30 days","&gt;30 days")))</f>
        <v>8-30 days</v>
      </c>
    </row>
    <row r="323" customFormat="false" ht="15" hidden="false" customHeight="false" outlineLevel="0" collapsed="false">
      <c r="A323" s="12" t="s">
        <v>554</v>
      </c>
      <c r="B323" s="12" t="n">
        <v>95</v>
      </c>
      <c r="C323" s="12" t="s">
        <v>43</v>
      </c>
      <c r="D323" s="12" t="s">
        <v>91</v>
      </c>
      <c r="E323" s="12" t="s">
        <v>304</v>
      </c>
      <c r="F323" s="12" t="s">
        <v>305</v>
      </c>
      <c r="G323" s="12" t="s">
        <v>177</v>
      </c>
      <c r="H323" s="12" t="s">
        <v>39</v>
      </c>
      <c r="I323" s="12" t="n">
        <v>10</v>
      </c>
      <c r="J323" s="12" t="s">
        <v>47</v>
      </c>
      <c r="K323" s="12" t="s">
        <v>48</v>
      </c>
      <c r="L323" s="12" t="str">
        <f aca="false">IF(OR(H323="Severe",H323="Life-Threatening"),"Yes","No")</f>
        <v>No</v>
      </c>
      <c r="M323" s="12" t="str">
        <f aca="false">IF(B323&lt;18,"0-17",IF(B323&lt;40,"18-39",IF(B323&lt;60,"40-59","60+")))</f>
        <v>60+</v>
      </c>
      <c r="N323" s="12" t="str">
        <f aca="false">IF(I323&lt;=1,"0-1 days",IF(I323&lt;=7,"2-7 days",IF(I323&lt;=30,"8-30 days","&gt;30 days")))</f>
        <v>8-30 days</v>
      </c>
    </row>
    <row r="324" customFormat="false" ht="15" hidden="false" customHeight="false" outlineLevel="0" collapsed="false">
      <c r="A324" s="12" t="s">
        <v>555</v>
      </c>
      <c r="B324" s="12" t="n">
        <v>65</v>
      </c>
      <c r="C324" s="12" t="s">
        <v>43</v>
      </c>
      <c r="D324" s="12" t="s">
        <v>327</v>
      </c>
      <c r="E324" s="12" t="s">
        <v>374</v>
      </c>
      <c r="F324" s="12" t="s">
        <v>235</v>
      </c>
      <c r="G324" s="12" t="s">
        <v>53</v>
      </c>
      <c r="H324" s="12" t="s">
        <v>76</v>
      </c>
      <c r="I324" s="12" t="n">
        <v>22</v>
      </c>
      <c r="J324" s="12" t="s">
        <v>40</v>
      </c>
      <c r="K324" s="12" t="s">
        <v>48</v>
      </c>
      <c r="L324" s="12" t="str">
        <f aca="false">IF(OR(H324="Severe",H324="Life-Threatening"),"Yes","No")</f>
        <v>Yes</v>
      </c>
      <c r="M324" s="12" t="str">
        <f aca="false">IF(B324&lt;18,"0-17",IF(B324&lt;40,"18-39",IF(B324&lt;60,"40-59","60+")))</f>
        <v>60+</v>
      </c>
      <c r="N324" s="12" t="str">
        <f aca="false">IF(I324&lt;=1,"0-1 days",IF(I324&lt;=7,"2-7 days",IF(I324&lt;=30,"8-30 days","&gt;30 days")))</f>
        <v>8-30 days</v>
      </c>
    </row>
    <row r="325" customFormat="false" ht="15" hidden="false" customHeight="false" outlineLevel="0" collapsed="false">
      <c r="A325" s="12" t="s">
        <v>556</v>
      </c>
      <c r="B325" s="12" t="n">
        <v>76</v>
      </c>
      <c r="C325" s="12" t="s">
        <v>34</v>
      </c>
      <c r="D325" s="12" t="s">
        <v>35</v>
      </c>
      <c r="E325" s="12" t="s">
        <v>121</v>
      </c>
      <c r="F325" s="12" t="s">
        <v>45</v>
      </c>
      <c r="G325" s="12" t="s">
        <v>38</v>
      </c>
      <c r="H325" s="12" t="s">
        <v>76</v>
      </c>
      <c r="I325" s="12" t="n">
        <v>12</v>
      </c>
      <c r="J325" s="12" t="s">
        <v>40</v>
      </c>
      <c r="K325" s="12" t="s">
        <v>63</v>
      </c>
      <c r="L325" s="12" t="str">
        <f aca="false">IF(OR(H325="Severe",H325="Life-Threatening"),"Yes","No")</f>
        <v>Yes</v>
      </c>
      <c r="M325" s="12" t="str">
        <f aca="false">IF(B325&lt;18,"0-17",IF(B325&lt;40,"18-39",IF(B325&lt;60,"40-59","60+")))</f>
        <v>60+</v>
      </c>
      <c r="N325" s="12" t="str">
        <f aca="false">IF(I325&lt;=1,"0-1 days",IF(I325&lt;=7,"2-7 days",IF(I325&lt;=30,"8-30 days","&gt;30 days")))</f>
        <v>8-30 days</v>
      </c>
    </row>
    <row r="326" customFormat="false" ht="15" hidden="false" customHeight="false" outlineLevel="0" collapsed="false">
      <c r="A326" s="12" t="s">
        <v>557</v>
      </c>
      <c r="B326" s="12" t="n">
        <v>95</v>
      </c>
      <c r="C326" s="12" t="s">
        <v>43</v>
      </c>
      <c r="D326" s="12" t="s">
        <v>245</v>
      </c>
      <c r="E326" s="12" t="s">
        <v>200</v>
      </c>
      <c r="F326" s="12" t="s">
        <v>403</v>
      </c>
      <c r="G326" s="12" t="s">
        <v>80</v>
      </c>
      <c r="H326" s="12" t="s">
        <v>46</v>
      </c>
      <c r="I326" s="12" t="n">
        <v>7</v>
      </c>
      <c r="J326" s="12" t="s">
        <v>40</v>
      </c>
      <c r="K326" s="12" t="s">
        <v>63</v>
      </c>
      <c r="L326" s="12" t="str">
        <f aca="false">IF(OR(H326="Severe",H326="Life-Threatening"),"Yes","No")</f>
        <v>No</v>
      </c>
      <c r="M326" s="12" t="str">
        <f aca="false">IF(B326&lt;18,"0-17",IF(B326&lt;40,"18-39",IF(B326&lt;60,"40-59","60+")))</f>
        <v>60+</v>
      </c>
      <c r="N326" s="12" t="str">
        <f aca="false">IF(I326&lt;=1,"0-1 days",IF(I326&lt;=7,"2-7 days",IF(I326&lt;=30,"8-30 days","&gt;30 days")))</f>
        <v>2-7 days</v>
      </c>
    </row>
    <row r="327" customFormat="false" ht="15" hidden="false" customHeight="false" outlineLevel="0" collapsed="false">
      <c r="A327" s="12" t="s">
        <v>558</v>
      </c>
      <c r="B327" s="12" t="n">
        <v>27</v>
      </c>
      <c r="C327" s="12" t="s">
        <v>43</v>
      </c>
      <c r="D327" s="12" t="s">
        <v>123</v>
      </c>
      <c r="E327" s="12" t="s">
        <v>241</v>
      </c>
      <c r="F327" s="12" t="s">
        <v>135</v>
      </c>
      <c r="G327" s="12" t="s">
        <v>136</v>
      </c>
      <c r="H327" s="12" t="s">
        <v>39</v>
      </c>
      <c r="I327" s="12" t="n">
        <v>21</v>
      </c>
      <c r="J327" s="12" t="s">
        <v>40</v>
      </c>
      <c r="K327" s="12" t="s">
        <v>63</v>
      </c>
      <c r="L327" s="12" t="str">
        <f aca="false">IF(OR(H327="Severe",H327="Life-Threatening"),"Yes","No")</f>
        <v>No</v>
      </c>
      <c r="M327" s="12" t="str">
        <f aca="false">IF(B327&lt;18,"0-17",IF(B327&lt;40,"18-39",IF(B327&lt;60,"40-59","60+")))</f>
        <v>18-39</v>
      </c>
      <c r="N327" s="12" t="str">
        <f aca="false">IF(I327&lt;=1,"0-1 days",IF(I327&lt;=7,"2-7 days",IF(I327&lt;=30,"8-30 days","&gt;30 days")))</f>
        <v>8-30 days</v>
      </c>
    </row>
    <row r="328" customFormat="false" ht="15" hidden="false" customHeight="false" outlineLevel="0" collapsed="false">
      <c r="A328" s="12" t="s">
        <v>559</v>
      </c>
      <c r="B328" s="12" t="n">
        <v>64</v>
      </c>
      <c r="C328" s="12" t="s">
        <v>34</v>
      </c>
      <c r="D328" s="12" t="s">
        <v>55</v>
      </c>
      <c r="E328" s="12" t="s">
        <v>386</v>
      </c>
      <c r="F328" s="12" t="s">
        <v>531</v>
      </c>
      <c r="G328" s="12" t="s">
        <v>94</v>
      </c>
      <c r="H328" s="12" t="s">
        <v>76</v>
      </c>
      <c r="I328" s="12" t="n">
        <v>21</v>
      </c>
      <c r="J328" s="12" t="s">
        <v>105</v>
      </c>
      <c r="K328" s="12" t="s">
        <v>63</v>
      </c>
      <c r="L328" s="12" t="str">
        <f aca="false">IF(OR(H328="Severe",H328="Life-Threatening"),"Yes","No")</f>
        <v>Yes</v>
      </c>
      <c r="M328" s="12" t="str">
        <f aca="false">IF(B328&lt;18,"0-17",IF(B328&lt;40,"18-39",IF(B328&lt;60,"40-59","60+")))</f>
        <v>60+</v>
      </c>
      <c r="N328" s="12" t="str">
        <f aca="false">IF(I328&lt;=1,"0-1 days",IF(I328&lt;=7,"2-7 days",IF(I328&lt;=30,"8-30 days","&gt;30 days")))</f>
        <v>8-30 days</v>
      </c>
    </row>
    <row r="329" customFormat="false" ht="15" hidden="false" customHeight="false" outlineLevel="0" collapsed="false">
      <c r="A329" s="12" t="s">
        <v>560</v>
      </c>
      <c r="B329" s="12" t="n">
        <v>62</v>
      </c>
      <c r="C329" s="12" t="s">
        <v>43</v>
      </c>
      <c r="D329" s="12" t="s">
        <v>50</v>
      </c>
      <c r="E329" s="12" t="s">
        <v>239</v>
      </c>
      <c r="F329" s="12" t="s">
        <v>62</v>
      </c>
      <c r="G329" s="12" t="s">
        <v>53</v>
      </c>
      <c r="H329" s="12" t="s">
        <v>46</v>
      </c>
      <c r="I329" s="12" t="n">
        <v>9</v>
      </c>
      <c r="J329" s="12" t="s">
        <v>40</v>
      </c>
      <c r="K329" s="12" t="s">
        <v>48</v>
      </c>
      <c r="L329" s="12" t="str">
        <f aca="false">IF(OR(H329="Severe",H329="Life-Threatening"),"Yes","No")</f>
        <v>No</v>
      </c>
      <c r="M329" s="12" t="str">
        <f aca="false">IF(B329&lt;18,"0-17",IF(B329&lt;40,"18-39",IF(B329&lt;60,"40-59","60+")))</f>
        <v>60+</v>
      </c>
      <c r="N329" s="12" t="str">
        <f aca="false">IF(I329&lt;=1,"0-1 days",IF(I329&lt;=7,"2-7 days",IF(I329&lt;=30,"8-30 days","&gt;30 days")))</f>
        <v>8-30 days</v>
      </c>
    </row>
    <row r="330" customFormat="false" ht="15" hidden="false" customHeight="false" outlineLevel="0" collapsed="false">
      <c r="A330" s="12" t="s">
        <v>561</v>
      </c>
      <c r="B330" s="12" t="n">
        <v>48</v>
      </c>
      <c r="C330" s="12" t="s">
        <v>43</v>
      </c>
      <c r="D330" s="12" t="s">
        <v>99</v>
      </c>
      <c r="E330" s="12" t="s">
        <v>141</v>
      </c>
      <c r="F330" s="12" t="s">
        <v>62</v>
      </c>
      <c r="G330" s="12" t="s">
        <v>53</v>
      </c>
      <c r="H330" s="12" t="s">
        <v>39</v>
      </c>
      <c r="I330" s="12" t="n">
        <v>16</v>
      </c>
      <c r="J330" s="12" t="s">
        <v>40</v>
      </c>
      <c r="K330" s="12" t="s">
        <v>41</v>
      </c>
      <c r="L330" s="12" t="str">
        <f aca="false">IF(OR(H330="Severe",H330="Life-Threatening"),"Yes","No")</f>
        <v>No</v>
      </c>
      <c r="M330" s="12" t="str">
        <f aca="false">IF(B330&lt;18,"0-17",IF(B330&lt;40,"18-39",IF(B330&lt;60,"40-59","60+")))</f>
        <v>40-59</v>
      </c>
      <c r="N330" s="12" t="str">
        <f aca="false">IF(I330&lt;=1,"0-1 days",IF(I330&lt;=7,"2-7 days",IF(I330&lt;=30,"8-30 days","&gt;30 days")))</f>
        <v>8-30 days</v>
      </c>
    </row>
    <row r="331" customFormat="false" ht="15" hidden="false" customHeight="false" outlineLevel="0" collapsed="false">
      <c r="A331" s="12" t="s">
        <v>562</v>
      </c>
      <c r="B331" s="12" t="n">
        <v>63</v>
      </c>
      <c r="C331" s="12" t="s">
        <v>34</v>
      </c>
      <c r="D331" s="12" t="s">
        <v>35</v>
      </c>
      <c r="E331" s="12" t="s">
        <v>383</v>
      </c>
      <c r="F331" s="12" t="s">
        <v>235</v>
      </c>
      <c r="G331" s="12" t="s">
        <v>53</v>
      </c>
      <c r="H331" s="12" t="s">
        <v>46</v>
      </c>
      <c r="I331" s="12" t="n">
        <v>27</v>
      </c>
      <c r="J331" s="12" t="s">
        <v>47</v>
      </c>
      <c r="K331" s="12" t="s">
        <v>63</v>
      </c>
      <c r="L331" s="12" t="str">
        <f aca="false">IF(OR(H331="Severe",H331="Life-Threatening"),"Yes","No")</f>
        <v>No</v>
      </c>
      <c r="M331" s="12" t="str">
        <f aca="false">IF(B331&lt;18,"0-17",IF(B331&lt;40,"18-39",IF(B331&lt;60,"40-59","60+")))</f>
        <v>60+</v>
      </c>
      <c r="N331" s="12" t="str">
        <f aca="false">IF(I331&lt;=1,"0-1 days",IF(I331&lt;=7,"2-7 days",IF(I331&lt;=30,"8-30 days","&gt;30 days")))</f>
        <v>8-30 days</v>
      </c>
    </row>
    <row r="332" customFormat="false" ht="15" hidden="false" customHeight="false" outlineLevel="0" collapsed="false">
      <c r="A332" s="12" t="s">
        <v>563</v>
      </c>
      <c r="B332" s="12" t="n">
        <v>55</v>
      </c>
      <c r="C332" s="12" t="s">
        <v>34</v>
      </c>
      <c r="D332" s="12" t="s">
        <v>85</v>
      </c>
      <c r="E332" s="12" t="s">
        <v>107</v>
      </c>
      <c r="F332" s="12" t="s">
        <v>108</v>
      </c>
      <c r="G332" s="12" t="s">
        <v>38</v>
      </c>
      <c r="H332" s="12" t="s">
        <v>39</v>
      </c>
      <c r="I332" s="12" t="n">
        <v>27</v>
      </c>
      <c r="J332" s="12" t="s">
        <v>40</v>
      </c>
      <c r="K332" s="12" t="s">
        <v>63</v>
      </c>
      <c r="L332" s="12" t="str">
        <f aca="false">IF(OR(H332="Severe",H332="Life-Threatening"),"Yes","No")</f>
        <v>No</v>
      </c>
      <c r="M332" s="12" t="str">
        <f aca="false">IF(B332&lt;18,"0-17",IF(B332&lt;40,"18-39",IF(B332&lt;60,"40-59","60+")))</f>
        <v>40-59</v>
      </c>
      <c r="N332" s="12" t="str">
        <f aca="false">IF(I332&lt;=1,"0-1 days",IF(I332&lt;=7,"2-7 days",IF(I332&lt;=30,"8-30 days","&gt;30 days")))</f>
        <v>8-30 days</v>
      </c>
    </row>
    <row r="333" customFormat="false" ht="15" hidden="false" customHeight="false" outlineLevel="0" collapsed="false">
      <c r="A333" s="12" t="s">
        <v>564</v>
      </c>
      <c r="B333" s="12" t="n">
        <v>58</v>
      </c>
      <c r="C333" s="12" t="s">
        <v>34</v>
      </c>
      <c r="D333" s="12" t="s">
        <v>99</v>
      </c>
      <c r="E333" s="12" t="s">
        <v>121</v>
      </c>
      <c r="F333" s="12" t="s">
        <v>565</v>
      </c>
      <c r="G333" s="12" t="s">
        <v>115</v>
      </c>
      <c r="H333" s="12" t="s">
        <v>76</v>
      </c>
      <c r="I333" s="12" t="n">
        <v>5</v>
      </c>
      <c r="J333" s="12" t="s">
        <v>47</v>
      </c>
      <c r="K333" s="12" t="s">
        <v>48</v>
      </c>
      <c r="L333" s="12" t="str">
        <f aca="false">IF(OR(H333="Severe",H333="Life-Threatening"),"Yes","No")</f>
        <v>Yes</v>
      </c>
      <c r="M333" s="12" t="str">
        <f aca="false">IF(B333&lt;18,"0-17",IF(B333&lt;40,"18-39",IF(B333&lt;60,"40-59","60+")))</f>
        <v>40-59</v>
      </c>
      <c r="N333" s="12" t="str">
        <f aca="false">IF(I333&lt;=1,"0-1 days",IF(I333&lt;=7,"2-7 days",IF(I333&lt;=30,"8-30 days","&gt;30 days")))</f>
        <v>2-7 days</v>
      </c>
    </row>
    <row r="334" customFormat="false" ht="15" hidden="false" customHeight="false" outlineLevel="0" collapsed="false">
      <c r="A334" s="12" t="s">
        <v>566</v>
      </c>
      <c r="B334" s="12" t="n">
        <v>76</v>
      </c>
      <c r="C334" s="12" t="s">
        <v>43</v>
      </c>
      <c r="D334" s="12" t="s">
        <v>99</v>
      </c>
      <c r="E334" s="12" t="s">
        <v>86</v>
      </c>
      <c r="F334" s="12" t="s">
        <v>103</v>
      </c>
      <c r="G334" s="12" t="s">
        <v>104</v>
      </c>
      <c r="H334" s="12" t="s">
        <v>39</v>
      </c>
      <c r="I334" s="12" t="n">
        <v>30</v>
      </c>
      <c r="J334" s="12" t="s">
        <v>47</v>
      </c>
      <c r="K334" s="12" t="s">
        <v>48</v>
      </c>
      <c r="L334" s="12" t="str">
        <f aca="false">IF(OR(H334="Severe",H334="Life-Threatening"),"Yes","No")</f>
        <v>No</v>
      </c>
      <c r="M334" s="12" t="str">
        <f aca="false">IF(B334&lt;18,"0-17",IF(B334&lt;40,"18-39",IF(B334&lt;60,"40-59","60+")))</f>
        <v>60+</v>
      </c>
      <c r="N334" s="12" t="str">
        <f aca="false">IF(I334&lt;=1,"0-1 days",IF(I334&lt;=7,"2-7 days",IF(I334&lt;=30,"8-30 days","&gt;30 days")))</f>
        <v>8-30 days</v>
      </c>
    </row>
    <row r="335" customFormat="false" ht="15" hidden="false" customHeight="false" outlineLevel="0" collapsed="false">
      <c r="A335" s="12" t="s">
        <v>567</v>
      </c>
      <c r="B335" s="12" t="n">
        <v>16</v>
      </c>
      <c r="C335" s="12" t="s">
        <v>43</v>
      </c>
      <c r="D335" s="12" t="s">
        <v>50</v>
      </c>
      <c r="E335" s="12" t="s">
        <v>74</v>
      </c>
      <c r="F335" s="12" t="s">
        <v>139</v>
      </c>
      <c r="G335" s="12" t="s">
        <v>38</v>
      </c>
      <c r="H335" s="12" t="s">
        <v>39</v>
      </c>
      <c r="I335" s="12" t="n">
        <v>24</v>
      </c>
      <c r="J335" s="12" t="s">
        <v>47</v>
      </c>
      <c r="K335" s="12" t="s">
        <v>41</v>
      </c>
      <c r="L335" s="12" t="str">
        <f aca="false">IF(OR(H335="Severe",H335="Life-Threatening"),"Yes","No")</f>
        <v>No</v>
      </c>
      <c r="M335" s="12" t="str">
        <f aca="false">IF(B335&lt;18,"0-17",IF(B335&lt;40,"18-39",IF(B335&lt;60,"40-59","60+")))</f>
        <v>0-17</v>
      </c>
      <c r="N335" s="12" t="str">
        <f aca="false">IF(I335&lt;=1,"0-1 days",IF(I335&lt;=7,"2-7 days",IF(I335&lt;=30,"8-30 days","&gt;30 days")))</f>
        <v>8-30 days</v>
      </c>
    </row>
    <row r="336" customFormat="false" ht="15" hidden="false" customHeight="false" outlineLevel="0" collapsed="false">
      <c r="A336" s="12" t="s">
        <v>568</v>
      </c>
      <c r="B336" s="12" t="n">
        <v>40</v>
      </c>
      <c r="C336" s="12" t="s">
        <v>43</v>
      </c>
      <c r="D336" s="12" t="s">
        <v>35</v>
      </c>
      <c r="E336" s="12" t="s">
        <v>56</v>
      </c>
      <c r="F336" s="12" t="s">
        <v>57</v>
      </c>
      <c r="G336" s="12" t="s">
        <v>58</v>
      </c>
      <c r="H336" s="12" t="s">
        <v>39</v>
      </c>
      <c r="I336" s="12" t="n">
        <v>1</v>
      </c>
      <c r="J336" s="12" t="s">
        <v>40</v>
      </c>
      <c r="K336" s="12" t="s">
        <v>63</v>
      </c>
      <c r="L336" s="12" t="str">
        <f aca="false">IF(OR(H336="Severe",H336="Life-Threatening"),"Yes","No")</f>
        <v>No</v>
      </c>
      <c r="M336" s="12" t="str">
        <f aca="false">IF(B336&lt;18,"0-17",IF(B336&lt;40,"18-39",IF(B336&lt;60,"40-59","60+")))</f>
        <v>40-59</v>
      </c>
      <c r="N336" s="12" t="str">
        <f aca="false">IF(I336&lt;=1,"0-1 days",IF(I336&lt;=7,"2-7 days",IF(I336&lt;=30,"8-30 days","&gt;30 days")))</f>
        <v>0-1 days</v>
      </c>
    </row>
    <row r="337" customFormat="false" ht="15" hidden="false" customHeight="false" outlineLevel="0" collapsed="false">
      <c r="A337" s="12" t="s">
        <v>569</v>
      </c>
      <c r="B337" s="12" t="n">
        <v>32</v>
      </c>
      <c r="C337" s="12" t="s">
        <v>34</v>
      </c>
      <c r="D337" s="12" t="s">
        <v>144</v>
      </c>
      <c r="E337" s="12" t="s">
        <v>313</v>
      </c>
      <c r="F337" s="12" t="s">
        <v>62</v>
      </c>
      <c r="G337" s="12" t="s">
        <v>53</v>
      </c>
      <c r="H337" s="12" t="s">
        <v>46</v>
      </c>
      <c r="I337" s="12" t="n">
        <v>2</v>
      </c>
      <c r="J337" s="12" t="s">
        <v>40</v>
      </c>
      <c r="K337" s="12" t="s">
        <v>63</v>
      </c>
      <c r="L337" s="12" t="str">
        <f aca="false">IF(OR(H337="Severe",H337="Life-Threatening"),"Yes","No")</f>
        <v>No</v>
      </c>
      <c r="M337" s="12" t="str">
        <f aca="false">IF(B337&lt;18,"0-17",IF(B337&lt;40,"18-39",IF(B337&lt;60,"40-59","60+")))</f>
        <v>18-39</v>
      </c>
      <c r="N337" s="12" t="str">
        <f aca="false">IF(I337&lt;=1,"0-1 days",IF(I337&lt;=7,"2-7 days",IF(I337&lt;=30,"8-30 days","&gt;30 days")))</f>
        <v>2-7 days</v>
      </c>
    </row>
    <row r="338" customFormat="false" ht="15" hidden="false" customHeight="false" outlineLevel="0" collapsed="false">
      <c r="A338" s="12" t="s">
        <v>570</v>
      </c>
      <c r="B338" s="12" t="n">
        <v>73</v>
      </c>
      <c r="C338" s="12" t="s">
        <v>43</v>
      </c>
      <c r="D338" s="12" t="s">
        <v>144</v>
      </c>
      <c r="E338" s="12" t="s">
        <v>272</v>
      </c>
      <c r="F338" s="12" t="s">
        <v>214</v>
      </c>
      <c r="G338" s="12" t="s">
        <v>115</v>
      </c>
      <c r="H338" s="12" t="s">
        <v>39</v>
      </c>
      <c r="I338" s="12" t="n">
        <v>1</v>
      </c>
      <c r="J338" s="12" t="s">
        <v>47</v>
      </c>
      <c r="K338" s="12" t="s">
        <v>48</v>
      </c>
      <c r="L338" s="12" t="str">
        <f aca="false">IF(OR(H338="Severe",H338="Life-Threatening"),"Yes","No")</f>
        <v>No</v>
      </c>
      <c r="M338" s="12" t="str">
        <f aca="false">IF(B338&lt;18,"0-17",IF(B338&lt;40,"18-39",IF(B338&lt;60,"40-59","60+")))</f>
        <v>60+</v>
      </c>
      <c r="N338" s="12" t="str">
        <f aca="false">IF(I338&lt;=1,"0-1 days",IF(I338&lt;=7,"2-7 days",IF(I338&lt;=30,"8-30 days","&gt;30 days")))</f>
        <v>0-1 days</v>
      </c>
    </row>
    <row r="339" customFormat="false" ht="15" hidden="false" customHeight="false" outlineLevel="0" collapsed="false">
      <c r="A339" s="12" t="s">
        <v>571</v>
      </c>
      <c r="B339" s="12" t="n">
        <v>39</v>
      </c>
      <c r="C339" s="12" t="s">
        <v>34</v>
      </c>
      <c r="D339" s="12" t="s">
        <v>149</v>
      </c>
      <c r="E339" s="12" t="s">
        <v>188</v>
      </c>
      <c r="F339" s="12" t="s">
        <v>403</v>
      </c>
      <c r="G339" s="12" t="s">
        <v>80</v>
      </c>
      <c r="H339" s="12" t="s">
        <v>46</v>
      </c>
      <c r="I339" s="12" t="n">
        <v>1</v>
      </c>
      <c r="J339" s="12" t="s">
        <v>40</v>
      </c>
      <c r="K339" s="12" t="s">
        <v>147</v>
      </c>
      <c r="L339" s="12" t="str">
        <f aca="false">IF(OR(H339="Severe",H339="Life-Threatening"),"Yes","No")</f>
        <v>No</v>
      </c>
      <c r="M339" s="12" t="str">
        <f aca="false">IF(B339&lt;18,"0-17",IF(B339&lt;40,"18-39",IF(B339&lt;60,"40-59","60+")))</f>
        <v>18-39</v>
      </c>
      <c r="N339" s="12" t="str">
        <f aca="false">IF(I339&lt;=1,"0-1 days",IF(I339&lt;=7,"2-7 days",IF(I339&lt;=30,"8-30 days","&gt;30 days")))</f>
        <v>0-1 days</v>
      </c>
    </row>
    <row r="340" customFormat="false" ht="15" hidden="false" customHeight="false" outlineLevel="0" collapsed="false">
      <c r="A340" s="12" t="s">
        <v>572</v>
      </c>
      <c r="B340" s="12" t="n">
        <v>33</v>
      </c>
      <c r="C340" s="12" t="s">
        <v>34</v>
      </c>
      <c r="D340" s="12" t="s">
        <v>35</v>
      </c>
      <c r="E340" s="12" t="s">
        <v>200</v>
      </c>
      <c r="F340" s="12" t="s">
        <v>79</v>
      </c>
      <c r="G340" s="12" t="s">
        <v>80</v>
      </c>
      <c r="H340" s="12" t="s">
        <v>59</v>
      </c>
      <c r="I340" s="12" t="n">
        <v>13</v>
      </c>
      <c r="J340" s="12" t="s">
        <v>47</v>
      </c>
      <c r="K340" s="12" t="s">
        <v>41</v>
      </c>
      <c r="L340" s="12" t="str">
        <f aca="false">IF(OR(H340="Severe",H340="Life-Threatening"),"Yes","No")</f>
        <v>Yes</v>
      </c>
      <c r="M340" s="12" t="str">
        <f aca="false">IF(B340&lt;18,"0-17",IF(B340&lt;40,"18-39",IF(B340&lt;60,"40-59","60+")))</f>
        <v>18-39</v>
      </c>
      <c r="N340" s="12" t="str">
        <f aca="false">IF(I340&lt;=1,"0-1 days",IF(I340&lt;=7,"2-7 days",IF(I340&lt;=30,"8-30 days","&gt;30 days")))</f>
        <v>8-30 days</v>
      </c>
    </row>
    <row r="341" customFormat="false" ht="15" hidden="false" customHeight="false" outlineLevel="0" collapsed="false">
      <c r="A341" s="12" t="s">
        <v>573</v>
      </c>
      <c r="B341" s="12" t="n">
        <v>32</v>
      </c>
      <c r="C341" s="12" t="s">
        <v>34</v>
      </c>
      <c r="D341" s="12" t="s">
        <v>123</v>
      </c>
      <c r="E341" s="12" t="s">
        <v>138</v>
      </c>
      <c r="F341" s="12" t="s">
        <v>139</v>
      </c>
      <c r="G341" s="12" t="s">
        <v>38</v>
      </c>
      <c r="H341" s="12" t="s">
        <v>39</v>
      </c>
      <c r="I341" s="12" t="n">
        <v>14</v>
      </c>
      <c r="J341" s="12" t="s">
        <v>47</v>
      </c>
      <c r="K341" s="12" t="s">
        <v>48</v>
      </c>
      <c r="L341" s="12" t="str">
        <f aca="false">IF(OR(H341="Severe",H341="Life-Threatening"),"Yes","No")</f>
        <v>No</v>
      </c>
      <c r="M341" s="12" t="str">
        <f aca="false">IF(B341&lt;18,"0-17",IF(B341&lt;40,"18-39",IF(B341&lt;60,"40-59","60+")))</f>
        <v>18-39</v>
      </c>
      <c r="N341" s="12" t="str">
        <f aca="false">IF(I341&lt;=1,"0-1 days",IF(I341&lt;=7,"2-7 days",IF(I341&lt;=30,"8-30 days","&gt;30 days")))</f>
        <v>8-30 days</v>
      </c>
    </row>
    <row r="342" customFormat="false" ht="15" hidden="false" customHeight="false" outlineLevel="0" collapsed="false">
      <c r="A342" s="12" t="s">
        <v>574</v>
      </c>
      <c r="B342" s="12" t="n">
        <v>48</v>
      </c>
      <c r="C342" s="12" t="s">
        <v>43</v>
      </c>
      <c r="D342" s="12" t="s">
        <v>168</v>
      </c>
      <c r="E342" s="12" t="s">
        <v>324</v>
      </c>
      <c r="F342" s="12" t="s">
        <v>325</v>
      </c>
      <c r="G342" s="12" t="s">
        <v>177</v>
      </c>
      <c r="H342" s="12" t="s">
        <v>59</v>
      </c>
      <c r="I342" s="12" t="n">
        <v>6</v>
      </c>
      <c r="J342" s="12" t="s">
        <v>105</v>
      </c>
      <c r="K342" s="12" t="s">
        <v>63</v>
      </c>
      <c r="L342" s="12" t="str">
        <f aca="false">IF(OR(H342="Severe",H342="Life-Threatening"),"Yes","No")</f>
        <v>Yes</v>
      </c>
      <c r="M342" s="12" t="str">
        <f aca="false">IF(B342&lt;18,"0-17",IF(B342&lt;40,"18-39",IF(B342&lt;60,"40-59","60+")))</f>
        <v>40-59</v>
      </c>
      <c r="N342" s="12" t="str">
        <f aca="false">IF(I342&lt;=1,"0-1 days",IF(I342&lt;=7,"2-7 days",IF(I342&lt;=30,"8-30 days","&gt;30 days")))</f>
        <v>2-7 days</v>
      </c>
    </row>
    <row r="343" customFormat="false" ht="15" hidden="false" customHeight="false" outlineLevel="0" collapsed="false">
      <c r="A343" s="12" t="s">
        <v>575</v>
      </c>
      <c r="B343" s="12" t="n">
        <v>54</v>
      </c>
      <c r="C343" s="12" t="s">
        <v>34</v>
      </c>
      <c r="D343" s="12" t="s">
        <v>35</v>
      </c>
      <c r="E343" s="12" t="s">
        <v>538</v>
      </c>
      <c r="F343" s="12" t="s">
        <v>257</v>
      </c>
      <c r="G343" s="12" t="s">
        <v>80</v>
      </c>
      <c r="H343" s="12" t="s">
        <v>76</v>
      </c>
      <c r="I343" s="12" t="n">
        <v>14</v>
      </c>
      <c r="J343" s="12" t="s">
        <v>67</v>
      </c>
      <c r="K343" s="12" t="s">
        <v>48</v>
      </c>
      <c r="L343" s="12" t="str">
        <f aca="false">IF(OR(H343="Severe",H343="Life-Threatening"),"Yes","No")</f>
        <v>Yes</v>
      </c>
      <c r="M343" s="12" t="str">
        <f aca="false">IF(B343&lt;18,"0-17",IF(B343&lt;40,"18-39",IF(B343&lt;60,"40-59","60+")))</f>
        <v>40-59</v>
      </c>
      <c r="N343" s="12" t="str">
        <f aca="false">IF(I343&lt;=1,"0-1 days",IF(I343&lt;=7,"2-7 days",IF(I343&lt;=30,"8-30 days","&gt;30 days")))</f>
        <v>8-30 days</v>
      </c>
    </row>
    <row r="344" customFormat="false" ht="15" hidden="false" customHeight="false" outlineLevel="0" collapsed="false">
      <c r="A344" s="12" t="s">
        <v>576</v>
      </c>
      <c r="B344" s="12" t="n">
        <v>1</v>
      </c>
      <c r="C344" s="12" t="s">
        <v>43</v>
      </c>
      <c r="D344" s="12" t="s">
        <v>117</v>
      </c>
      <c r="E344" s="12" t="s">
        <v>374</v>
      </c>
      <c r="F344" s="12" t="s">
        <v>325</v>
      </c>
      <c r="G344" s="12" t="s">
        <v>177</v>
      </c>
      <c r="H344" s="12" t="s">
        <v>59</v>
      </c>
      <c r="I344" s="12" t="n">
        <v>13</v>
      </c>
      <c r="J344" s="12" t="s">
        <v>105</v>
      </c>
      <c r="K344" s="12" t="s">
        <v>48</v>
      </c>
      <c r="L344" s="12" t="str">
        <f aca="false">IF(OR(H344="Severe",H344="Life-Threatening"),"Yes","No")</f>
        <v>Yes</v>
      </c>
      <c r="M344" s="12" t="str">
        <f aca="false">IF(B344&lt;18,"0-17",IF(B344&lt;40,"18-39",IF(B344&lt;60,"40-59","60+")))</f>
        <v>0-17</v>
      </c>
      <c r="N344" s="12" t="str">
        <f aca="false">IF(I344&lt;=1,"0-1 days",IF(I344&lt;=7,"2-7 days",IF(I344&lt;=30,"8-30 days","&gt;30 days")))</f>
        <v>8-30 days</v>
      </c>
    </row>
    <row r="345" customFormat="false" ht="15" hidden="false" customHeight="false" outlineLevel="0" collapsed="false">
      <c r="A345" s="12" t="s">
        <v>577</v>
      </c>
      <c r="B345" s="12" t="n">
        <v>33</v>
      </c>
      <c r="C345" s="12" t="s">
        <v>43</v>
      </c>
      <c r="D345" s="12" t="s">
        <v>99</v>
      </c>
      <c r="E345" s="12" t="s">
        <v>186</v>
      </c>
      <c r="F345" s="12" t="s">
        <v>131</v>
      </c>
      <c r="G345" s="12" t="s">
        <v>94</v>
      </c>
      <c r="H345" s="12" t="s">
        <v>39</v>
      </c>
      <c r="I345" s="12" t="n">
        <v>20</v>
      </c>
      <c r="J345" s="12" t="s">
        <v>47</v>
      </c>
      <c r="K345" s="12" t="s">
        <v>41</v>
      </c>
      <c r="L345" s="12" t="str">
        <f aca="false">IF(OR(H345="Severe",H345="Life-Threatening"),"Yes","No")</f>
        <v>No</v>
      </c>
      <c r="M345" s="12" t="str">
        <f aca="false">IF(B345&lt;18,"0-17",IF(B345&lt;40,"18-39",IF(B345&lt;60,"40-59","60+")))</f>
        <v>18-39</v>
      </c>
      <c r="N345" s="12" t="str">
        <f aca="false">IF(I345&lt;=1,"0-1 days",IF(I345&lt;=7,"2-7 days",IF(I345&lt;=30,"8-30 days","&gt;30 days")))</f>
        <v>8-30 days</v>
      </c>
    </row>
    <row r="346" customFormat="false" ht="15" hidden="false" customHeight="false" outlineLevel="0" collapsed="false">
      <c r="A346" s="12" t="s">
        <v>578</v>
      </c>
      <c r="B346" s="12" t="n">
        <v>35</v>
      </c>
      <c r="C346" s="12" t="s">
        <v>43</v>
      </c>
      <c r="D346" s="12" t="s">
        <v>35</v>
      </c>
      <c r="E346" s="12" t="s">
        <v>241</v>
      </c>
      <c r="F346" s="12" t="s">
        <v>135</v>
      </c>
      <c r="G346" s="12" t="s">
        <v>136</v>
      </c>
      <c r="H346" s="12" t="s">
        <v>46</v>
      </c>
      <c r="I346" s="12" t="n">
        <v>11</v>
      </c>
      <c r="J346" s="12" t="s">
        <v>47</v>
      </c>
      <c r="K346" s="12" t="s">
        <v>41</v>
      </c>
      <c r="L346" s="12" t="str">
        <f aca="false">IF(OR(H346="Severe",H346="Life-Threatening"),"Yes","No")</f>
        <v>No</v>
      </c>
      <c r="M346" s="12" t="str">
        <f aca="false">IF(B346&lt;18,"0-17",IF(B346&lt;40,"18-39",IF(B346&lt;60,"40-59","60+")))</f>
        <v>18-39</v>
      </c>
      <c r="N346" s="12" t="str">
        <f aca="false">IF(I346&lt;=1,"0-1 days",IF(I346&lt;=7,"2-7 days",IF(I346&lt;=30,"8-30 days","&gt;30 days")))</f>
        <v>8-30 days</v>
      </c>
    </row>
    <row r="347" customFormat="false" ht="15" hidden="false" customHeight="false" outlineLevel="0" collapsed="false">
      <c r="A347" s="12" t="s">
        <v>579</v>
      </c>
      <c r="B347" s="12" t="n">
        <v>66</v>
      </c>
      <c r="C347" s="12" t="s">
        <v>43</v>
      </c>
      <c r="D347" s="12" t="s">
        <v>35</v>
      </c>
      <c r="E347" s="12" t="s">
        <v>36</v>
      </c>
      <c r="F347" s="12" t="s">
        <v>37</v>
      </c>
      <c r="G347" s="12" t="s">
        <v>38</v>
      </c>
      <c r="H347" s="12" t="s">
        <v>39</v>
      </c>
      <c r="I347" s="12" t="n">
        <v>19</v>
      </c>
      <c r="J347" s="12" t="s">
        <v>47</v>
      </c>
      <c r="K347" s="12" t="s">
        <v>48</v>
      </c>
      <c r="L347" s="12" t="str">
        <f aca="false">IF(OR(H347="Severe",H347="Life-Threatening"),"Yes","No")</f>
        <v>No</v>
      </c>
      <c r="M347" s="12" t="str">
        <f aca="false">IF(B347&lt;18,"0-17",IF(B347&lt;40,"18-39",IF(B347&lt;60,"40-59","60+")))</f>
        <v>60+</v>
      </c>
      <c r="N347" s="12" t="str">
        <f aca="false">IF(I347&lt;=1,"0-1 days",IF(I347&lt;=7,"2-7 days",IF(I347&lt;=30,"8-30 days","&gt;30 days")))</f>
        <v>8-30 days</v>
      </c>
    </row>
    <row r="348" customFormat="false" ht="15" hidden="false" customHeight="false" outlineLevel="0" collapsed="false">
      <c r="A348" s="12" t="s">
        <v>580</v>
      </c>
      <c r="B348" s="12" t="n">
        <v>74</v>
      </c>
      <c r="C348" s="12" t="s">
        <v>43</v>
      </c>
      <c r="D348" s="12" t="s">
        <v>581</v>
      </c>
      <c r="E348" s="12" t="s">
        <v>164</v>
      </c>
      <c r="F348" s="12" t="s">
        <v>305</v>
      </c>
      <c r="G348" s="12" t="s">
        <v>177</v>
      </c>
      <c r="H348" s="12" t="s">
        <v>39</v>
      </c>
      <c r="I348" s="12" t="n">
        <v>2</v>
      </c>
      <c r="J348" s="12" t="s">
        <v>67</v>
      </c>
      <c r="K348" s="12" t="s">
        <v>63</v>
      </c>
      <c r="L348" s="12" t="str">
        <f aca="false">IF(OR(H348="Severe",H348="Life-Threatening"),"Yes","No")</f>
        <v>No</v>
      </c>
      <c r="M348" s="12" t="str">
        <f aca="false">IF(B348&lt;18,"0-17",IF(B348&lt;40,"18-39",IF(B348&lt;60,"40-59","60+")))</f>
        <v>60+</v>
      </c>
      <c r="N348" s="12" t="str">
        <f aca="false">IF(I348&lt;=1,"0-1 days",IF(I348&lt;=7,"2-7 days",IF(I348&lt;=30,"8-30 days","&gt;30 days")))</f>
        <v>2-7 days</v>
      </c>
    </row>
    <row r="349" customFormat="false" ht="15" hidden="false" customHeight="false" outlineLevel="0" collapsed="false">
      <c r="A349" s="12" t="s">
        <v>582</v>
      </c>
      <c r="B349" s="12" t="n">
        <v>59</v>
      </c>
      <c r="C349" s="12" t="s">
        <v>43</v>
      </c>
      <c r="D349" s="12" t="s">
        <v>69</v>
      </c>
      <c r="E349" s="12" t="s">
        <v>141</v>
      </c>
      <c r="F349" s="12" t="s">
        <v>305</v>
      </c>
      <c r="G349" s="12" t="s">
        <v>177</v>
      </c>
      <c r="H349" s="12" t="s">
        <v>39</v>
      </c>
      <c r="I349" s="12" t="n">
        <v>18</v>
      </c>
      <c r="J349" s="12" t="s">
        <v>40</v>
      </c>
      <c r="K349" s="12" t="s">
        <v>48</v>
      </c>
      <c r="L349" s="12" t="str">
        <f aca="false">IF(OR(H349="Severe",H349="Life-Threatening"),"Yes","No")</f>
        <v>No</v>
      </c>
      <c r="M349" s="12" t="str">
        <f aca="false">IF(B349&lt;18,"0-17",IF(B349&lt;40,"18-39",IF(B349&lt;60,"40-59","60+")))</f>
        <v>40-59</v>
      </c>
      <c r="N349" s="12" t="str">
        <f aca="false">IF(I349&lt;=1,"0-1 days",IF(I349&lt;=7,"2-7 days",IF(I349&lt;=30,"8-30 days","&gt;30 days")))</f>
        <v>8-30 days</v>
      </c>
    </row>
    <row r="350" customFormat="false" ht="15" hidden="false" customHeight="false" outlineLevel="0" collapsed="false">
      <c r="A350" s="12" t="s">
        <v>583</v>
      </c>
      <c r="B350" s="12" t="n">
        <v>15</v>
      </c>
      <c r="C350" s="12" t="s">
        <v>34</v>
      </c>
      <c r="D350" s="12" t="s">
        <v>474</v>
      </c>
      <c r="E350" s="12" t="s">
        <v>213</v>
      </c>
      <c r="F350" s="12" t="s">
        <v>214</v>
      </c>
      <c r="G350" s="12" t="s">
        <v>115</v>
      </c>
      <c r="H350" s="12" t="s">
        <v>46</v>
      </c>
      <c r="I350" s="12" t="n">
        <v>22</v>
      </c>
      <c r="J350" s="12" t="s">
        <v>169</v>
      </c>
      <c r="K350" s="12" t="s">
        <v>41</v>
      </c>
      <c r="L350" s="12" t="str">
        <f aca="false">IF(OR(H350="Severe",H350="Life-Threatening"),"Yes","No")</f>
        <v>No</v>
      </c>
      <c r="M350" s="12" t="str">
        <f aca="false">IF(B350&lt;18,"0-17",IF(B350&lt;40,"18-39",IF(B350&lt;60,"40-59","60+")))</f>
        <v>0-17</v>
      </c>
      <c r="N350" s="12" t="str">
        <f aca="false">IF(I350&lt;=1,"0-1 days",IF(I350&lt;=7,"2-7 days",IF(I350&lt;=30,"8-30 days","&gt;30 days")))</f>
        <v>8-30 days</v>
      </c>
    </row>
    <row r="351" customFormat="false" ht="15" hidden="false" customHeight="false" outlineLevel="0" collapsed="false">
      <c r="A351" s="12" t="s">
        <v>584</v>
      </c>
      <c r="B351" s="12" t="n">
        <v>49</v>
      </c>
      <c r="C351" s="12" t="s">
        <v>43</v>
      </c>
      <c r="D351" s="12" t="s">
        <v>35</v>
      </c>
      <c r="E351" s="12" t="s">
        <v>383</v>
      </c>
      <c r="F351" s="12" t="s">
        <v>139</v>
      </c>
      <c r="G351" s="12" t="s">
        <v>38</v>
      </c>
      <c r="H351" s="12" t="s">
        <v>39</v>
      </c>
      <c r="I351" s="12" t="n">
        <v>12</v>
      </c>
      <c r="J351" s="12" t="s">
        <v>47</v>
      </c>
      <c r="K351" s="12" t="s">
        <v>48</v>
      </c>
      <c r="L351" s="12" t="str">
        <f aca="false">IF(OR(H351="Severe",H351="Life-Threatening"),"Yes","No")</f>
        <v>No</v>
      </c>
      <c r="M351" s="12" t="str">
        <f aca="false">IF(B351&lt;18,"0-17",IF(B351&lt;40,"18-39",IF(B351&lt;60,"40-59","60+")))</f>
        <v>40-59</v>
      </c>
      <c r="N351" s="12" t="str">
        <f aca="false">IF(I351&lt;=1,"0-1 days",IF(I351&lt;=7,"2-7 days",IF(I351&lt;=30,"8-30 days","&gt;30 days")))</f>
        <v>8-30 days</v>
      </c>
    </row>
    <row r="352" customFormat="false" ht="15" hidden="false" customHeight="false" outlineLevel="0" collapsed="false">
      <c r="A352" s="12" t="s">
        <v>585</v>
      </c>
      <c r="B352" s="12" t="n">
        <v>41</v>
      </c>
      <c r="C352" s="12" t="s">
        <v>34</v>
      </c>
      <c r="D352" s="12" t="s">
        <v>55</v>
      </c>
      <c r="E352" s="12" t="s">
        <v>86</v>
      </c>
      <c r="F352" s="12" t="s">
        <v>103</v>
      </c>
      <c r="G352" s="12" t="s">
        <v>104</v>
      </c>
      <c r="H352" s="12" t="s">
        <v>39</v>
      </c>
      <c r="I352" s="12" t="n">
        <v>17</v>
      </c>
      <c r="J352" s="12" t="s">
        <v>40</v>
      </c>
      <c r="K352" s="12" t="s">
        <v>63</v>
      </c>
      <c r="L352" s="12" t="str">
        <f aca="false">IF(OR(H352="Severe",H352="Life-Threatening"),"Yes","No")</f>
        <v>No</v>
      </c>
      <c r="M352" s="12" t="str">
        <f aca="false">IF(B352&lt;18,"0-17",IF(B352&lt;40,"18-39",IF(B352&lt;60,"40-59","60+")))</f>
        <v>40-59</v>
      </c>
      <c r="N352" s="12" t="str">
        <f aca="false">IF(I352&lt;=1,"0-1 days",IF(I352&lt;=7,"2-7 days",IF(I352&lt;=30,"8-30 days","&gt;30 days")))</f>
        <v>8-30 days</v>
      </c>
    </row>
    <row r="353" customFormat="false" ht="15" hidden="false" customHeight="false" outlineLevel="0" collapsed="false">
      <c r="A353" s="12" t="s">
        <v>586</v>
      </c>
      <c r="B353" s="12" t="n">
        <v>34</v>
      </c>
      <c r="C353" s="12" t="s">
        <v>34</v>
      </c>
      <c r="D353" s="12" t="s">
        <v>85</v>
      </c>
      <c r="E353" s="12" t="s">
        <v>241</v>
      </c>
      <c r="F353" s="12" t="s">
        <v>333</v>
      </c>
      <c r="G353" s="12" t="s">
        <v>104</v>
      </c>
      <c r="H353" s="12" t="s">
        <v>46</v>
      </c>
      <c r="I353" s="12" t="n">
        <v>26</v>
      </c>
      <c r="J353" s="12" t="s">
        <v>40</v>
      </c>
      <c r="K353" s="12" t="s">
        <v>63</v>
      </c>
      <c r="L353" s="12" t="str">
        <f aca="false">IF(OR(H353="Severe",H353="Life-Threatening"),"Yes","No")</f>
        <v>No</v>
      </c>
      <c r="M353" s="12" t="str">
        <f aca="false">IF(B353&lt;18,"0-17",IF(B353&lt;40,"18-39",IF(B353&lt;60,"40-59","60+")))</f>
        <v>18-39</v>
      </c>
      <c r="N353" s="12" t="str">
        <f aca="false">IF(I353&lt;=1,"0-1 days",IF(I353&lt;=7,"2-7 days",IF(I353&lt;=30,"8-30 days","&gt;30 days")))</f>
        <v>8-30 days</v>
      </c>
    </row>
    <row r="354" customFormat="false" ht="15" hidden="false" customHeight="false" outlineLevel="0" collapsed="false">
      <c r="A354" s="12" t="s">
        <v>587</v>
      </c>
      <c r="B354" s="12" t="n">
        <v>73</v>
      </c>
      <c r="C354" s="12" t="s">
        <v>34</v>
      </c>
      <c r="D354" s="12" t="s">
        <v>155</v>
      </c>
      <c r="E354" s="12" t="s">
        <v>376</v>
      </c>
      <c r="F354" s="12" t="s">
        <v>377</v>
      </c>
      <c r="G354" s="12" t="s">
        <v>53</v>
      </c>
      <c r="H354" s="12" t="s">
        <v>46</v>
      </c>
      <c r="I354" s="12" t="n">
        <v>28</v>
      </c>
      <c r="J354" s="12" t="s">
        <v>40</v>
      </c>
      <c r="K354" s="12" t="s">
        <v>48</v>
      </c>
      <c r="L354" s="12" t="str">
        <f aca="false">IF(OR(H354="Severe",H354="Life-Threatening"),"Yes","No")</f>
        <v>No</v>
      </c>
      <c r="M354" s="12" t="str">
        <f aca="false">IF(B354&lt;18,"0-17",IF(B354&lt;40,"18-39",IF(B354&lt;60,"40-59","60+")))</f>
        <v>60+</v>
      </c>
      <c r="N354" s="12" t="str">
        <f aca="false">IF(I354&lt;=1,"0-1 days",IF(I354&lt;=7,"2-7 days",IF(I354&lt;=30,"8-30 days","&gt;30 days")))</f>
        <v>8-30 days</v>
      </c>
    </row>
    <row r="355" customFormat="false" ht="15" hidden="false" customHeight="false" outlineLevel="0" collapsed="false">
      <c r="A355" s="12" t="s">
        <v>588</v>
      </c>
      <c r="B355" s="12" t="n">
        <v>44</v>
      </c>
      <c r="C355" s="12" t="s">
        <v>34</v>
      </c>
      <c r="D355" s="12" t="s">
        <v>35</v>
      </c>
      <c r="E355" s="12" t="s">
        <v>188</v>
      </c>
      <c r="F355" s="12" t="s">
        <v>79</v>
      </c>
      <c r="G355" s="12" t="s">
        <v>80</v>
      </c>
      <c r="H355" s="12" t="s">
        <v>76</v>
      </c>
      <c r="I355" s="12" t="n">
        <v>28</v>
      </c>
      <c r="J355" s="12" t="s">
        <v>47</v>
      </c>
      <c r="K355" s="12" t="s">
        <v>63</v>
      </c>
      <c r="L355" s="12" t="str">
        <f aca="false">IF(OR(H355="Severe",H355="Life-Threatening"),"Yes","No")</f>
        <v>Yes</v>
      </c>
      <c r="M355" s="12" t="str">
        <f aca="false">IF(B355&lt;18,"0-17",IF(B355&lt;40,"18-39",IF(B355&lt;60,"40-59","60+")))</f>
        <v>40-59</v>
      </c>
      <c r="N355" s="12" t="str">
        <f aca="false">IF(I355&lt;=1,"0-1 days",IF(I355&lt;=7,"2-7 days",IF(I355&lt;=30,"8-30 days","&gt;30 days")))</f>
        <v>8-30 days</v>
      </c>
    </row>
    <row r="356" customFormat="false" ht="15" hidden="false" customHeight="false" outlineLevel="0" collapsed="false">
      <c r="A356" s="12" t="s">
        <v>589</v>
      </c>
      <c r="B356" s="12" t="n">
        <v>63</v>
      </c>
      <c r="C356" s="12" t="s">
        <v>34</v>
      </c>
      <c r="D356" s="12" t="s">
        <v>120</v>
      </c>
      <c r="E356" s="12" t="s">
        <v>86</v>
      </c>
      <c r="F356" s="12" t="s">
        <v>45</v>
      </c>
      <c r="G356" s="12" t="s">
        <v>38</v>
      </c>
      <c r="H356" s="12" t="s">
        <v>46</v>
      </c>
      <c r="I356" s="12" t="n">
        <v>11</v>
      </c>
      <c r="J356" s="12" t="s">
        <v>40</v>
      </c>
      <c r="K356" s="12" t="s">
        <v>147</v>
      </c>
      <c r="L356" s="12" t="str">
        <f aca="false">IF(OR(H356="Severe",H356="Life-Threatening"),"Yes","No")</f>
        <v>No</v>
      </c>
      <c r="M356" s="12" t="str">
        <f aca="false">IF(B356&lt;18,"0-17",IF(B356&lt;40,"18-39",IF(B356&lt;60,"40-59","60+")))</f>
        <v>60+</v>
      </c>
      <c r="N356" s="12" t="str">
        <f aca="false">IF(I356&lt;=1,"0-1 days",IF(I356&lt;=7,"2-7 days",IF(I356&lt;=30,"8-30 days","&gt;30 days")))</f>
        <v>8-30 days</v>
      </c>
    </row>
    <row r="357" customFormat="false" ht="15" hidden="false" customHeight="false" outlineLevel="0" collapsed="false">
      <c r="A357" s="12" t="s">
        <v>590</v>
      </c>
      <c r="B357" s="12" t="n">
        <v>2</v>
      </c>
      <c r="C357" s="12" t="s">
        <v>34</v>
      </c>
      <c r="D357" s="12" t="s">
        <v>55</v>
      </c>
      <c r="E357" s="12" t="s">
        <v>179</v>
      </c>
      <c r="F357" s="12" t="s">
        <v>325</v>
      </c>
      <c r="G357" s="12" t="s">
        <v>177</v>
      </c>
      <c r="H357" s="12" t="s">
        <v>76</v>
      </c>
      <c r="I357" s="12" t="n">
        <v>11</v>
      </c>
      <c r="J357" s="12" t="s">
        <v>105</v>
      </c>
      <c r="K357" s="12" t="s">
        <v>48</v>
      </c>
      <c r="L357" s="12" t="str">
        <f aca="false">IF(OR(H357="Severe",H357="Life-Threatening"),"Yes","No")</f>
        <v>Yes</v>
      </c>
      <c r="M357" s="12" t="str">
        <f aca="false">IF(B357&lt;18,"0-17",IF(B357&lt;40,"18-39",IF(B357&lt;60,"40-59","60+")))</f>
        <v>0-17</v>
      </c>
      <c r="N357" s="12" t="str">
        <f aca="false">IF(I357&lt;=1,"0-1 days",IF(I357&lt;=7,"2-7 days",IF(I357&lt;=30,"8-30 days","&gt;30 days")))</f>
        <v>8-30 days</v>
      </c>
    </row>
    <row r="358" customFormat="false" ht="15" hidden="false" customHeight="false" outlineLevel="0" collapsed="false">
      <c r="A358" s="12" t="s">
        <v>591</v>
      </c>
      <c r="B358" s="12" t="n">
        <v>62</v>
      </c>
      <c r="C358" s="12" t="s">
        <v>34</v>
      </c>
      <c r="D358" s="12" t="s">
        <v>55</v>
      </c>
      <c r="E358" s="12" t="s">
        <v>36</v>
      </c>
      <c r="F358" s="12" t="s">
        <v>364</v>
      </c>
      <c r="G358" s="12" t="s">
        <v>38</v>
      </c>
      <c r="H358" s="12" t="s">
        <v>76</v>
      </c>
      <c r="I358" s="12" t="n">
        <v>30</v>
      </c>
      <c r="J358" s="12" t="s">
        <v>105</v>
      </c>
      <c r="K358" s="12" t="s">
        <v>147</v>
      </c>
      <c r="L358" s="12" t="str">
        <f aca="false">IF(OR(H358="Severe",H358="Life-Threatening"),"Yes","No")</f>
        <v>Yes</v>
      </c>
      <c r="M358" s="12" t="str">
        <f aca="false">IF(B358&lt;18,"0-17",IF(B358&lt;40,"18-39",IF(B358&lt;60,"40-59","60+")))</f>
        <v>60+</v>
      </c>
      <c r="N358" s="12" t="str">
        <f aca="false">IF(I358&lt;=1,"0-1 days",IF(I358&lt;=7,"2-7 days",IF(I358&lt;=30,"8-30 days","&gt;30 days")))</f>
        <v>8-30 days</v>
      </c>
    </row>
    <row r="359" customFormat="false" ht="15" hidden="false" customHeight="false" outlineLevel="0" collapsed="false">
      <c r="A359" s="12" t="s">
        <v>592</v>
      </c>
      <c r="B359" s="12" t="n">
        <v>42</v>
      </c>
      <c r="C359" s="12" t="s">
        <v>43</v>
      </c>
      <c r="D359" s="12" t="s">
        <v>155</v>
      </c>
      <c r="E359" s="12" t="s">
        <v>186</v>
      </c>
      <c r="F359" s="12" t="s">
        <v>131</v>
      </c>
      <c r="G359" s="12" t="s">
        <v>94</v>
      </c>
      <c r="H359" s="12" t="s">
        <v>59</v>
      </c>
      <c r="I359" s="12" t="n">
        <v>24</v>
      </c>
      <c r="J359" s="12" t="s">
        <v>40</v>
      </c>
      <c r="K359" s="12" t="s">
        <v>41</v>
      </c>
      <c r="L359" s="12" t="str">
        <f aca="false">IF(OR(H359="Severe",H359="Life-Threatening"),"Yes","No")</f>
        <v>Yes</v>
      </c>
      <c r="M359" s="12" t="str">
        <f aca="false">IF(B359&lt;18,"0-17",IF(B359&lt;40,"18-39",IF(B359&lt;60,"40-59","60+")))</f>
        <v>40-59</v>
      </c>
      <c r="N359" s="12" t="str">
        <f aca="false">IF(I359&lt;=1,"0-1 days",IF(I359&lt;=7,"2-7 days",IF(I359&lt;=30,"8-30 days","&gt;30 days")))</f>
        <v>8-30 days</v>
      </c>
    </row>
    <row r="360" customFormat="false" ht="15" hidden="false" customHeight="false" outlineLevel="0" collapsed="false">
      <c r="A360" s="12" t="s">
        <v>593</v>
      </c>
      <c r="B360" s="12" t="n">
        <v>56</v>
      </c>
      <c r="C360" s="12" t="s">
        <v>43</v>
      </c>
      <c r="D360" s="12" t="s">
        <v>88</v>
      </c>
      <c r="E360" s="12" t="s">
        <v>352</v>
      </c>
      <c r="F360" s="12" t="s">
        <v>171</v>
      </c>
      <c r="G360" s="12" t="s">
        <v>53</v>
      </c>
      <c r="H360" s="12" t="s">
        <v>39</v>
      </c>
      <c r="I360" s="12" t="n">
        <v>8</v>
      </c>
      <c r="J360" s="12" t="s">
        <v>169</v>
      </c>
      <c r="K360" s="12" t="s">
        <v>63</v>
      </c>
      <c r="L360" s="12" t="str">
        <f aca="false">IF(OR(H360="Severe",H360="Life-Threatening"),"Yes","No")</f>
        <v>No</v>
      </c>
      <c r="M360" s="12" t="str">
        <f aca="false">IF(B360&lt;18,"0-17",IF(B360&lt;40,"18-39",IF(B360&lt;60,"40-59","60+")))</f>
        <v>40-59</v>
      </c>
      <c r="N360" s="12" t="str">
        <f aca="false">IF(I360&lt;=1,"0-1 days",IF(I360&lt;=7,"2-7 days",IF(I360&lt;=30,"8-30 days","&gt;30 days")))</f>
        <v>8-30 days</v>
      </c>
    </row>
    <row r="361" customFormat="false" ht="15" hidden="false" customHeight="false" outlineLevel="0" collapsed="false">
      <c r="A361" s="12" t="s">
        <v>594</v>
      </c>
      <c r="B361" s="12" t="n">
        <v>53</v>
      </c>
      <c r="C361" s="12" t="s">
        <v>43</v>
      </c>
      <c r="D361" s="12" t="s">
        <v>117</v>
      </c>
      <c r="E361" s="12" t="s">
        <v>134</v>
      </c>
      <c r="F361" s="12" t="s">
        <v>254</v>
      </c>
      <c r="G361" s="12" t="s">
        <v>136</v>
      </c>
      <c r="H361" s="12" t="s">
        <v>39</v>
      </c>
      <c r="I361" s="12" t="n">
        <v>14</v>
      </c>
      <c r="J361" s="12" t="s">
        <v>40</v>
      </c>
      <c r="K361" s="12" t="s">
        <v>147</v>
      </c>
      <c r="L361" s="12" t="str">
        <f aca="false">IF(OR(H361="Severe",H361="Life-Threatening"),"Yes","No")</f>
        <v>No</v>
      </c>
      <c r="M361" s="12" t="str">
        <f aca="false">IF(B361&lt;18,"0-17",IF(B361&lt;40,"18-39",IF(B361&lt;60,"40-59","60+")))</f>
        <v>40-59</v>
      </c>
      <c r="N361" s="12" t="str">
        <f aca="false">IF(I361&lt;=1,"0-1 days",IF(I361&lt;=7,"2-7 days",IF(I361&lt;=30,"8-30 days","&gt;30 days")))</f>
        <v>8-30 days</v>
      </c>
    </row>
    <row r="362" customFormat="false" ht="15" hidden="false" customHeight="false" outlineLevel="0" collapsed="false">
      <c r="A362" s="12" t="s">
        <v>595</v>
      </c>
      <c r="B362" s="12" t="n">
        <v>45</v>
      </c>
      <c r="C362" s="12" t="s">
        <v>34</v>
      </c>
      <c r="D362" s="12" t="s">
        <v>112</v>
      </c>
      <c r="E362" s="12" t="s">
        <v>398</v>
      </c>
      <c r="F362" s="12" t="s">
        <v>37</v>
      </c>
      <c r="G362" s="12" t="s">
        <v>38</v>
      </c>
      <c r="H362" s="12" t="s">
        <v>76</v>
      </c>
      <c r="I362" s="12" t="n">
        <v>1</v>
      </c>
      <c r="J362" s="12" t="s">
        <v>47</v>
      </c>
      <c r="K362" s="12" t="s">
        <v>63</v>
      </c>
      <c r="L362" s="12" t="str">
        <f aca="false">IF(OR(H362="Severe",H362="Life-Threatening"),"Yes","No")</f>
        <v>Yes</v>
      </c>
      <c r="M362" s="12" t="str">
        <f aca="false">IF(B362&lt;18,"0-17",IF(B362&lt;40,"18-39",IF(B362&lt;60,"40-59","60+")))</f>
        <v>40-59</v>
      </c>
      <c r="N362" s="12" t="str">
        <f aca="false">IF(I362&lt;=1,"0-1 days",IF(I362&lt;=7,"2-7 days",IF(I362&lt;=30,"8-30 days","&gt;30 days")))</f>
        <v>0-1 days</v>
      </c>
    </row>
    <row r="363" customFormat="false" ht="15" hidden="false" customHeight="false" outlineLevel="0" collapsed="false">
      <c r="A363" s="12" t="s">
        <v>596</v>
      </c>
      <c r="B363" s="12" t="n">
        <v>41</v>
      </c>
      <c r="C363" s="12" t="s">
        <v>43</v>
      </c>
      <c r="D363" s="12" t="s">
        <v>102</v>
      </c>
      <c r="E363" s="12" t="s">
        <v>498</v>
      </c>
      <c r="F363" s="12" t="s">
        <v>93</v>
      </c>
      <c r="G363" s="12" t="s">
        <v>94</v>
      </c>
      <c r="H363" s="12" t="s">
        <v>46</v>
      </c>
      <c r="I363" s="12" t="n">
        <v>32</v>
      </c>
      <c r="J363" s="12" t="s">
        <v>40</v>
      </c>
      <c r="K363" s="12" t="s">
        <v>48</v>
      </c>
      <c r="L363" s="12" t="str">
        <f aca="false">IF(OR(H363="Severe",H363="Life-Threatening"),"Yes","No")</f>
        <v>No</v>
      </c>
      <c r="M363" s="12" t="str">
        <f aca="false">IF(B363&lt;18,"0-17",IF(B363&lt;40,"18-39",IF(B363&lt;60,"40-59","60+")))</f>
        <v>40-59</v>
      </c>
      <c r="N363" s="12" t="str">
        <f aca="false">IF(I363&lt;=1,"0-1 days",IF(I363&lt;=7,"2-7 days",IF(I363&lt;=30,"8-30 days","&gt;30 days")))</f>
        <v>&gt;30 days</v>
      </c>
    </row>
    <row r="364" customFormat="false" ht="15" hidden="false" customHeight="false" outlineLevel="0" collapsed="false">
      <c r="A364" s="12" t="s">
        <v>597</v>
      </c>
      <c r="B364" s="12" t="n">
        <v>23</v>
      </c>
      <c r="C364" s="12" t="s">
        <v>43</v>
      </c>
      <c r="D364" s="12" t="s">
        <v>85</v>
      </c>
      <c r="E364" s="12" t="s">
        <v>498</v>
      </c>
      <c r="F364" s="12" t="s">
        <v>93</v>
      </c>
      <c r="G364" s="12" t="s">
        <v>94</v>
      </c>
      <c r="H364" s="12" t="s">
        <v>39</v>
      </c>
      <c r="I364" s="12" t="n">
        <v>37</v>
      </c>
      <c r="J364" s="12" t="s">
        <v>40</v>
      </c>
      <c r="K364" s="12" t="s">
        <v>48</v>
      </c>
      <c r="L364" s="12" t="str">
        <f aca="false">IF(OR(H364="Severe",H364="Life-Threatening"),"Yes","No")</f>
        <v>No</v>
      </c>
      <c r="M364" s="12" t="str">
        <f aca="false">IF(B364&lt;18,"0-17",IF(B364&lt;40,"18-39",IF(B364&lt;60,"40-59","60+")))</f>
        <v>18-39</v>
      </c>
      <c r="N364" s="12" t="str">
        <f aca="false">IF(I364&lt;=1,"0-1 days",IF(I364&lt;=7,"2-7 days",IF(I364&lt;=30,"8-30 days","&gt;30 days")))</f>
        <v>&gt;30 days</v>
      </c>
    </row>
    <row r="365" customFormat="false" ht="15" hidden="false" customHeight="false" outlineLevel="0" collapsed="false">
      <c r="A365" s="12" t="s">
        <v>598</v>
      </c>
      <c r="B365" s="12" t="n">
        <v>45</v>
      </c>
      <c r="C365" s="12" t="s">
        <v>43</v>
      </c>
      <c r="D365" s="12" t="s">
        <v>196</v>
      </c>
      <c r="E365" s="12" t="s">
        <v>160</v>
      </c>
      <c r="F365" s="12" t="s">
        <v>235</v>
      </c>
      <c r="G365" s="12" t="s">
        <v>53</v>
      </c>
      <c r="H365" s="12" t="s">
        <v>39</v>
      </c>
      <c r="I365" s="12" t="n">
        <v>10</v>
      </c>
      <c r="J365" s="12" t="s">
        <v>169</v>
      </c>
      <c r="K365" s="12" t="s">
        <v>48</v>
      </c>
      <c r="L365" s="12" t="str">
        <f aca="false">IF(OR(H365="Severe",H365="Life-Threatening"),"Yes","No")</f>
        <v>No</v>
      </c>
      <c r="M365" s="12" t="str">
        <f aca="false">IF(B365&lt;18,"0-17",IF(B365&lt;40,"18-39",IF(B365&lt;60,"40-59","60+")))</f>
        <v>40-59</v>
      </c>
      <c r="N365" s="12" t="str">
        <f aca="false">IF(I365&lt;=1,"0-1 days",IF(I365&lt;=7,"2-7 days",IF(I365&lt;=30,"8-30 days","&gt;30 days")))</f>
        <v>8-30 days</v>
      </c>
    </row>
    <row r="366" customFormat="false" ht="15" hidden="false" customHeight="false" outlineLevel="0" collapsed="false">
      <c r="A366" s="12" t="s">
        <v>599</v>
      </c>
      <c r="B366" s="12" t="n">
        <v>14</v>
      </c>
      <c r="C366" s="12" t="s">
        <v>34</v>
      </c>
      <c r="D366" s="12" t="s">
        <v>55</v>
      </c>
      <c r="E366" s="12" t="s">
        <v>530</v>
      </c>
      <c r="F366" s="12" t="s">
        <v>62</v>
      </c>
      <c r="G366" s="12" t="s">
        <v>53</v>
      </c>
      <c r="H366" s="12" t="s">
        <v>46</v>
      </c>
      <c r="I366" s="12" t="n">
        <v>2</v>
      </c>
      <c r="J366" s="12" t="s">
        <v>40</v>
      </c>
      <c r="K366" s="12" t="s">
        <v>63</v>
      </c>
      <c r="L366" s="12" t="str">
        <f aca="false">IF(OR(H366="Severe",H366="Life-Threatening"),"Yes","No")</f>
        <v>No</v>
      </c>
      <c r="M366" s="12" t="str">
        <f aca="false">IF(B366&lt;18,"0-17",IF(B366&lt;40,"18-39",IF(B366&lt;60,"40-59","60+")))</f>
        <v>0-17</v>
      </c>
      <c r="N366" s="12" t="str">
        <f aca="false">IF(I366&lt;=1,"0-1 days",IF(I366&lt;=7,"2-7 days",IF(I366&lt;=30,"8-30 days","&gt;30 days")))</f>
        <v>2-7 days</v>
      </c>
    </row>
    <row r="367" customFormat="false" ht="15" hidden="false" customHeight="false" outlineLevel="0" collapsed="false">
      <c r="A367" s="12" t="s">
        <v>600</v>
      </c>
      <c r="B367" s="12" t="n">
        <v>61</v>
      </c>
      <c r="C367" s="12" t="s">
        <v>43</v>
      </c>
      <c r="D367" s="12" t="s">
        <v>69</v>
      </c>
      <c r="E367" s="12" t="s">
        <v>266</v>
      </c>
      <c r="F367" s="12" t="s">
        <v>214</v>
      </c>
      <c r="G367" s="12" t="s">
        <v>115</v>
      </c>
      <c r="H367" s="12" t="s">
        <v>76</v>
      </c>
      <c r="I367" s="12" t="n">
        <v>24</v>
      </c>
      <c r="J367" s="12" t="s">
        <v>169</v>
      </c>
      <c r="K367" s="12" t="s">
        <v>63</v>
      </c>
      <c r="L367" s="12" t="str">
        <f aca="false">IF(OR(H367="Severe",H367="Life-Threatening"),"Yes","No")</f>
        <v>Yes</v>
      </c>
      <c r="M367" s="12" t="str">
        <f aca="false">IF(B367&lt;18,"0-17",IF(B367&lt;40,"18-39",IF(B367&lt;60,"40-59","60+")))</f>
        <v>60+</v>
      </c>
      <c r="N367" s="12" t="str">
        <f aca="false">IF(I367&lt;=1,"0-1 days",IF(I367&lt;=7,"2-7 days",IF(I367&lt;=30,"8-30 days","&gt;30 days")))</f>
        <v>8-30 days</v>
      </c>
    </row>
    <row r="368" customFormat="false" ht="15" hidden="false" customHeight="false" outlineLevel="0" collapsed="false">
      <c r="A368" s="12" t="s">
        <v>601</v>
      </c>
      <c r="B368" s="12" t="n">
        <v>44</v>
      </c>
      <c r="C368" s="12" t="s">
        <v>34</v>
      </c>
      <c r="D368" s="12" t="s">
        <v>168</v>
      </c>
      <c r="E368" s="12" t="s">
        <v>386</v>
      </c>
      <c r="F368" s="12" t="s">
        <v>531</v>
      </c>
      <c r="G368" s="12" t="s">
        <v>94</v>
      </c>
      <c r="H368" s="12" t="s">
        <v>39</v>
      </c>
      <c r="I368" s="12" t="n">
        <v>1</v>
      </c>
      <c r="J368" s="12" t="s">
        <v>40</v>
      </c>
      <c r="K368" s="12" t="s">
        <v>63</v>
      </c>
      <c r="L368" s="12" t="str">
        <f aca="false">IF(OR(H368="Severe",H368="Life-Threatening"),"Yes","No")</f>
        <v>No</v>
      </c>
      <c r="M368" s="12" t="str">
        <f aca="false">IF(B368&lt;18,"0-17",IF(B368&lt;40,"18-39",IF(B368&lt;60,"40-59","60+")))</f>
        <v>40-59</v>
      </c>
      <c r="N368" s="12" t="str">
        <f aca="false">IF(I368&lt;=1,"0-1 days",IF(I368&lt;=7,"2-7 days",IF(I368&lt;=30,"8-30 days","&gt;30 days")))</f>
        <v>0-1 days</v>
      </c>
    </row>
    <row r="369" customFormat="false" ht="15" hidden="false" customHeight="false" outlineLevel="0" collapsed="false">
      <c r="A369" s="12" t="s">
        <v>602</v>
      </c>
      <c r="B369" s="12" t="n">
        <v>32</v>
      </c>
      <c r="C369" s="12" t="s">
        <v>43</v>
      </c>
      <c r="D369" s="12" t="s">
        <v>231</v>
      </c>
      <c r="E369" s="12" t="s">
        <v>287</v>
      </c>
      <c r="F369" s="12" t="s">
        <v>45</v>
      </c>
      <c r="G369" s="12" t="s">
        <v>38</v>
      </c>
      <c r="H369" s="12" t="s">
        <v>39</v>
      </c>
      <c r="I369" s="12" t="n">
        <v>29</v>
      </c>
      <c r="J369" s="12" t="s">
        <v>40</v>
      </c>
      <c r="K369" s="12" t="s">
        <v>63</v>
      </c>
      <c r="L369" s="12" t="str">
        <f aca="false">IF(OR(H369="Severe",H369="Life-Threatening"),"Yes","No")</f>
        <v>No</v>
      </c>
      <c r="M369" s="12" t="str">
        <f aca="false">IF(B369&lt;18,"0-17",IF(B369&lt;40,"18-39",IF(B369&lt;60,"40-59","60+")))</f>
        <v>18-39</v>
      </c>
      <c r="N369" s="12" t="str">
        <f aca="false">IF(I369&lt;=1,"0-1 days",IF(I369&lt;=7,"2-7 days",IF(I369&lt;=30,"8-30 days","&gt;30 days")))</f>
        <v>8-30 days</v>
      </c>
    </row>
    <row r="370" customFormat="false" ht="15" hidden="false" customHeight="false" outlineLevel="0" collapsed="false">
      <c r="A370" s="12" t="s">
        <v>603</v>
      </c>
      <c r="B370" s="12" t="n">
        <v>38</v>
      </c>
      <c r="C370" s="12" t="s">
        <v>34</v>
      </c>
      <c r="D370" s="12" t="s">
        <v>50</v>
      </c>
      <c r="E370" s="12" t="s">
        <v>498</v>
      </c>
      <c r="F370" s="12" t="s">
        <v>93</v>
      </c>
      <c r="G370" s="12" t="s">
        <v>94</v>
      </c>
      <c r="H370" s="12" t="s">
        <v>39</v>
      </c>
      <c r="I370" s="12" t="n">
        <v>33</v>
      </c>
      <c r="J370" s="12" t="s">
        <v>40</v>
      </c>
      <c r="K370" s="12" t="s">
        <v>41</v>
      </c>
      <c r="L370" s="12" t="str">
        <f aca="false">IF(OR(H370="Severe",H370="Life-Threatening"),"Yes","No")</f>
        <v>No</v>
      </c>
      <c r="M370" s="12" t="str">
        <f aca="false">IF(B370&lt;18,"0-17",IF(B370&lt;40,"18-39",IF(B370&lt;60,"40-59","60+")))</f>
        <v>18-39</v>
      </c>
      <c r="N370" s="12" t="str">
        <f aca="false">IF(I370&lt;=1,"0-1 days",IF(I370&lt;=7,"2-7 days",IF(I370&lt;=30,"8-30 days","&gt;30 days")))</f>
        <v>&gt;30 days</v>
      </c>
    </row>
    <row r="371" customFormat="false" ht="15" hidden="false" customHeight="false" outlineLevel="0" collapsed="false">
      <c r="A371" s="12" t="s">
        <v>604</v>
      </c>
      <c r="B371" s="12" t="n">
        <v>83</v>
      </c>
      <c r="C371" s="12" t="s">
        <v>43</v>
      </c>
      <c r="D371" s="12" t="s">
        <v>99</v>
      </c>
      <c r="E371" s="12" t="s">
        <v>227</v>
      </c>
      <c r="F371" s="12" t="s">
        <v>264</v>
      </c>
      <c r="G371" s="12" t="s">
        <v>104</v>
      </c>
      <c r="H371" s="12" t="s">
        <v>59</v>
      </c>
      <c r="I371" s="12" t="n">
        <v>32</v>
      </c>
      <c r="J371" s="12" t="s">
        <v>40</v>
      </c>
      <c r="K371" s="12" t="s">
        <v>48</v>
      </c>
      <c r="L371" s="12" t="str">
        <f aca="false">IF(OR(H371="Severe",H371="Life-Threatening"),"Yes","No")</f>
        <v>Yes</v>
      </c>
      <c r="M371" s="12" t="str">
        <f aca="false">IF(B371&lt;18,"0-17",IF(B371&lt;40,"18-39",IF(B371&lt;60,"40-59","60+")))</f>
        <v>60+</v>
      </c>
      <c r="N371" s="12" t="str">
        <f aca="false">IF(I371&lt;=1,"0-1 days",IF(I371&lt;=7,"2-7 days",IF(I371&lt;=30,"8-30 days","&gt;30 days")))</f>
        <v>&gt;30 days</v>
      </c>
    </row>
    <row r="372" customFormat="false" ht="15" hidden="false" customHeight="false" outlineLevel="0" collapsed="false">
      <c r="A372" s="12" t="s">
        <v>605</v>
      </c>
      <c r="B372" s="12" t="n">
        <v>54</v>
      </c>
      <c r="C372" s="12" t="s">
        <v>43</v>
      </c>
      <c r="D372" s="12" t="s">
        <v>211</v>
      </c>
      <c r="E372" s="12" t="s">
        <v>538</v>
      </c>
      <c r="F372" s="12" t="s">
        <v>45</v>
      </c>
      <c r="G372" s="12" t="s">
        <v>38</v>
      </c>
      <c r="H372" s="12" t="s">
        <v>39</v>
      </c>
      <c r="I372" s="12" t="n">
        <v>7</v>
      </c>
      <c r="J372" s="12" t="s">
        <v>40</v>
      </c>
      <c r="K372" s="12" t="s">
        <v>63</v>
      </c>
      <c r="L372" s="12" t="str">
        <f aca="false">IF(OR(H372="Severe",H372="Life-Threatening"),"Yes","No")</f>
        <v>No</v>
      </c>
      <c r="M372" s="12" t="str">
        <f aca="false">IF(B372&lt;18,"0-17",IF(B372&lt;40,"18-39",IF(B372&lt;60,"40-59","60+")))</f>
        <v>40-59</v>
      </c>
      <c r="N372" s="12" t="str">
        <f aca="false">IF(I372&lt;=1,"0-1 days",IF(I372&lt;=7,"2-7 days",IF(I372&lt;=30,"8-30 days","&gt;30 days")))</f>
        <v>2-7 days</v>
      </c>
    </row>
    <row r="373" customFormat="false" ht="15" hidden="false" customHeight="false" outlineLevel="0" collapsed="false">
      <c r="A373" s="12" t="s">
        <v>606</v>
      </c>
      <c r="B373" s="12" t="n">
        <v>59</v>
      </c>
      <c r="C373" s="12" t="s">
        <v>34</v>
      </c>
      <c r="D373" s="12" t="s">
        <v>155</v>
      </c>
      <c r="E373" s="12" t="s">
        <v>241</v>
      </c>
      <c r="F373" s="12" t="s">
        <v>254</v>
      </c>
      <c r="G373" s="12" t="s">
        <v>136</v>
      </c>
      <c r="H373" s="12" t="s">
        <v>76</v>
      </c>
      <c r="I373" s="12" t="n">
        <v>20</v>
      </c>
      <c r="J373" s="12" t="s">
        <v>40</v>
      </c>
      <c r="K373" s="12" t="s">
        <v>48</v>
      </c>
      <c r="L373" s="12" t="str">
        <f aca="false">IF(OR(H373="Severe",H373="Life-Threatening"),"Yes","No")</f>
        <v>Yes</v>
      </c>
      <c r="M373" s="12" t="str">
        <f aca="false">IF(B373&lt;18,"0-17",IF(B373&lt;40,"18-39",IF(B373&lt;60,"40-59","60+")))</f>
        <v>40-59</v>
      </c>
      <c r="N373" s="12" t="str">
        <f aca="false">IF(I373&lt;=1,"0-1 days",IF(I373&lt;=7,"2-7 days",IF(I373&lt;=30,"8-30 days","&gt;30 days")))</f>
        <v>8-30 days</v>
      </c>
    </row>
    <row r="374" customFormat="false" ht="15" hidden="false" customHeight="false" outlineLevel="0" collapsed="false">
      <c r="A374" s="12" t="s">
        <v>607</v>
      </c>
      <c r="B374" s="12" t="n">
        <v>21</v>
      </c>
      <c r="C374" s="12" t="s">
        <v>43</v>
      </c>
      <c r="D374" s="12" t="s">
        <v>35</v>
      </c>
      <c r="E374" s="12" t="s">
        <v>266</v>
      </c>
      <c r="F374" s="12" t="s">
        <v>214</v>
      </c>
      <c r="G374" s="12" t="s">
        <v>115</v>
      </c>
      <c r="H374" s="12" t="s">
        <v>39</v>
      </c>
      <c r="I374" s="12" t="n">
        <v>11</v>
      </c>
      <c r="J374" s="12" t="s">
        <v>40</v>
      </c>
      <c r="K374" s="12" t="s">
        <v>48</v>
      </c>
      <c r="L374" s="12" t="str">
        <f aca="false">IF(OR(H374="Severe",H374="Life-Threatening"),"Yes","No")</f>
        <v>No</v>
      </c>
      <c r="M374" s="12" t="str">
        <f aca="false">IF(B374&lt;18,"0-17",IF(B374&lt;40,"18-39",IF(B374&lt;60,"40-59","60+")))</f>
        <v>18-39</v>
      </c>
      <c r="N374" s="12" t="str">
        <f aca="false">IF(I374&lt;=1,"0-1 days",IF(I374&lt;=7,"2-7 days",IF(I374&lt;=30,"8-30 days","&gt;30 days")))</f>
        <v>8-30 days</v>
      </c>
    </row>
    <row r="375" customFormat="false" ht="15" hidden="false" customHeight="false" outlineLevel="0" collapsed="false">
      <c r="A375" s="12" t="s">
        <v>608</v>
      </c>
      <c r="B375" s="12" t="n">
        <v>36</v>
      </c>
      <c r="C375" s="12" t="s">
        <v>43</v>
      </c>
      <c r="D375" s="12" t="s">
        <v>194</v>
      </c>
      <c r="E375" s="12" t="s">
        <v>86</v>
      </c>
      <c r="F375" s="12" t="s">
        <v>45</v>
      </c>
      <c r="G375" s="12" t="s">
        <v>38</v>
      </c>
      <c r="H375" s="12" t="s">
        <v>46</v>
      </c>
      <c r="I375" s="12" t="n">
        <v>15</v>
      </c>
      <c r="J375" s="12" t="s">
        <v>40</v>
      </c>
      <c r="K375" s="12" t="s">
        <v>63</v>
      </c>
      <c r="L375" s="12" t="str">
        <f aca="false">IF(OR(H375="Severe",H375="Life-Threatening"),"Yes","No")</f>
        <v>No</v>
      </c>
      <c r="M375" s="12" t="str">
        <f aca="false">IF(B375&lt;18,"0-17",IF(B375&lt;40,"18-39",IF(B375&lt;60,"40-59","60+")))</f>
        <v>18-39</v>
      </c>
      <c r="N375" s="12" t="str">
        <f aca="false">IF(I375&lt;=1,"0-1 days",IF(I375&lt;=7,"2-7 days",IF(I375&lt;=30,"8-30 days","&gt;30 days")))</f>
        <v>8-30 days</v>
      </c>
    </row>
    <row r="376" customFormat="false" ht="15" hidden="false" customHeight="false" outlineLevel="0" collapsed="false">
      <c r="A376" s="12" t="s">
        <v>609</v>
      </c>
      <c r="B376" s="12" t="n">
        <v>72</v>
      </c>
      <c r="C376" s="12" t="s">
        <v>43</v>
      </c>
      <c r="D376" s="12" t="s">
        <v>149</v>
      </c>
      <c r="E376" s="12" t="s">
        <v>173</v>
      </c>
      <c r="F376" s="12" t="s">
        <v>131</v>
      </c>
      <c r="G376" s="12" t="s">
        <v>94</v>
      </c>
      <c r="H376" s="12" t="s">
        <v>39</v>
      </c>
      <c r="I376" s="12" t="n">
        <v>3</v>
      </c>
      <c r="J376" s="12" t="s">
        <v>40</v>
      </c>
      <c r="K376" s="12" t="s">
        <v>147</v>
      </c>
      <c r="L376" s="12" t="str">
        <f aca="false">IF(OR(H376="Severe",H376="Life-Threatening"),"Yes","No")</f>
        <v>No</v>
      </c>
      <c r="M376" s="12" t="str">
        <f aca="false">IF(B376&lt;18,"0-17",IF(B376&lt;40,"18-39",IF(B376&lt;60,"40-59","60+")))</f>
        <v>60+</v>
      </c>
      <c r="N376" s="12" t="str">
        <f aca="false">IF(I376&lt;=1,"0-1 days",IF(I376&lt;=7,"2-7 days",IF(I376&lt;=30,"8-30 days","&gt;30 days")))</f>
        <v>2-7 days</v>
      </c>
    </row>
    <row r="377" customFormat="false" ht="15" hidden="false" customHeight="false" outlineLevel="0" collapsed="false">
      <c r="A377" s="12" t="s">
        <v>610</v>
      </c>
      <c r="B377" s="12" t="n">
        <v>88</v>
      </c>
      <c r="C377" s="12" t="s">
        <v>34</v>
      </c>
      <c r="D377" s="12" t="s">
        <v>85</v>
      </c>
      <c r="E377" s="12" t="s">
        <v>61</v>
      </c>
      <c r="F377" s="12" t="s">
        <v>488</v>
      </c>
      <c r="G377" s="12" t="s">
        <v>53</v>
      </c>
      <c r="H377" s="12" t="s">
        <v>76</v>
      </c>
      <c r="I377" s="12" t="n">
        <v>0</v>
      </c>
      <c r="J377" s="12" t="s">
        <v>47</v>
      </c>
      <c r="K377" s="12" t="s">
        <v>48</v>
      </c>
      <c r="L377" s="12" t="str">
        <f aca="false">IF(OR(H377="Severe",H377="Life-Threatening"),"Yes","No")</f>
        <v>Yes</v>
      </c>
      <c r="M377" s="12" t="str">
        <f aca="false">IF(B377&lt;18,"0-17",IF(B377&lt;40,"18-39",IF(B377&lt;60,"40-59","60+")))</f>
        <v>60+</v>
      </c>
      <c r="N377" s="12" t="str">
        <f aca="false">IF(I377&lt;=1,"0-1 days",IF(I377&lt;=7,"2-7 days",IF(I377&lt;=30,"8-30 days","&gt;30 days")))</f>
        <v>0-1 days</v>
      </c>
    </row>
    <row r="378" customFormat="false" ht="15" hidden="false" customHeight="false" outlineLevel="0" collapsed="false">
      <c r="A378" s="12" t="s">
        <v>611</v>
      </c>
      <c r="B378" s="12" t="n">
        <v>18</v>
      </c>
      <c r="C378" s="12" t="s">
        <v>34</v>
      </c>
      <c r="D378" s="12" t="s">
        <v>155</v>
      </c>
      <c r="E378" s="12" t="s">
        <v>110</v>
      </c>
      <c r="F378" s="12" t="s">
        <v>322</v>
      </c>
      <c r="G378" s="12" t="s">
        <v>53</v>
      </c>
      <c r="H378" s="12" t="s">
        <v>46</v>
      </c>
      <c r="I378" s="12" t="n">
        <v>15</v>
      </c>
      <c r="J378" s="12" t="s">
        <v>40</v>
      </c>
      <c r="K378" s="12" t="s">
        <v>48</v>
      </c>
      <c r="L378" s="12" t="str">
        <f aca="false">IF(OR(H378="Severe",H378="Life-Threatening"),"Yes","No")</f>
        <v>No</v>
      </c>
      <c r="M378" s="12" t="str">
        <f aca="false">IF(B378&lt;18,"0-17",IF(B378&lt;40,"18-39",IF(B378&lt;60,"40-59","60+")))</f>
        <v>18-39</v>
      </c>
      <c r="N378" s="12" t="str">
        <f aca="false">IF(I378&lt;=1,"0-1 days",IF(I378&lt;=7,"2-7 days",IF(I378&lt;=30,"8-30 days","&gt;30 days")))</f>
        <v>8-30 days</v>
      </c>
    </row>
    <row r="379" customFormat="false" ht="15" hidden="false" customHeight="false" outlineLevel="0" collapsed="false">
      <c r="A379" s="12" t="s">
        <v>612</v>
      </c>
      <c r="B379" s="12" t="n">
        <v>55</v>
      </c>
      <c r="C379" s="12" t="s">
        <v>34</v>
      </c>
      <c r="D379" s="12" t="s">
        <v>91</v>
      </c>
      <c r="E379" s="12" t="s">
        <v>301</v>
      </c>
      <c r="F379" s="12" t="s">
        <v>103</v>
      </c>
      <c r="G379" s="12" t="s">
        <v>104</v>
      </c>
      <c r="H379" s="12" t="s">
        <v>76</v>
      </c>
      <c r="I379" s="12" t="n">
        <v>12</v>
      </c>
      <c r="J379" s="12" t="s">
        <v>47</v>
      </c>
      <c r="K379" s="12" t="s">
        <v>41</v>
      </c>
      <c r="L379" s="12" t="str">
        <f aca="false">IF(OR(H379="Severe",H379="Life-Threatening"),"Yes","No")</f>
        <v>Yes</v>
      </c>
      <c r="M379" s="12" t="str">
        <f aca="false">IF(B379&lt;18,"0-17",IF(B379&lt;40,"18-39",IF(B379&lt;60,"40-59","60+")))</f>
        <v>40-59</v>
      </c>
      <c r="N379" s="12" t="str">
        <f aca="false">IF(I379&lt;=1,"0-1 days",IF(I379&lt;=7,"2-7 days",IF(I379&lt;=30,"8-30 days","&gt;30 days")))</f>
        <v>8-30 days</v>
      </c>
    </row>
    <row r="380" customFormat="false" ht="15" hidden="false" customHeight="false" outlineLevel="0" collapsed="false">
      <c r="A380" s="12" t="s">
        <v>613</v>
      </c>
      <c r="B380" s="12" t="n">
        <v>32</v>
      </c>
      <c r="C380" s="12" t="s">
        <v>34</v>
      </c>
      <c r="D380" s="12" t="s">
        <v>120</v>
      </c>
      <c r="E380" s="12" t="s">
        <v>175</v>
      </c>
      <c r="F380" s="12" t="s">
        <v>176</v>
      </c>
      <c r="G380" s="12" t="s">
        <v>177</v>
      </c>
      <c r="H380" s="12" t="s">
        <v>39</v>
      </c>
      <c r="I380" s="12" t="n">
        <v>13</v>
      </c>
      <c r="J380" s="12" t="s">
        <v>40</v>
      </c>
      <c r="K380" s="12" t="s">
        <v>63</v>
      </c>
      <c r="L380" s="12" t="str">
        <f aca="false">IF(OR(H380="Severe",H380="Life-Threatening"),"Yes","No")</f>
        <v>No</v>
      </c>
      <c r="M380" s="12" t="str">
        <f aca="false">IF(B380&lt;18,"0-17",IF(B380&lt;40,"18-39",IF(B380&lt;60,"40-59","60+")))</f>
        <v>18-39</v>
      </c>
      <c r="N380" s="12" t="str">
        <f aca="false">IF(I380&lt;=1,"0-1 days",IF(I380&lt;=7,"2-7 days",IF(I380&lt;=30,"8-30 days","&gt;30 days")))</f>
        <v>8-30 days</v>
      </c>
    </row>
    <row r="381" customFormat="false" ht="15" hidden="false" customHeight="false" outlineLevel="0" collapsed="false">
      <c r="A381" s="12" t="s">
        <v>614</v>
      </c>
      <c r="B381" s="12" t="n">
        <v>29</v>
      </c>
      <c r="C381" s="12" t="s">
        <v>34</v>
      </c>
      <c r="D381" s="12" t="s">
        <v>35</v>
      </c>
      <c r="E381" s="12" t="s">
        <v>86</v>
      </c>
      <c r="F381" s="12" t="s">
        <v>45</v>
      </c>
      <c r="G381" s="12" t="s">
        <v>38</v>
      </c>
      <c r="H381" s="12" t="s">
        <v>46</v>
      </c>
      <c r="I381" s="12" t="n">
        <v>14</v>
      </c>
      <c r="J381" s="12" t="s">
        <v>47</v>
      </c>
      <c r="K381" s="12" t="s">
        <v>48</v>
      </c>
      <c r="L381" s="12" t="str">
        <f aca="false">IF(OR(H381="Severe",H381="Life-Threatening"),"Yes","No")</f>
        <v>No</v>
      </c>
      <c r="M381" s="12" t="str">
        <f aca="false">IF(B381&lt;18,"0-17",IF(B381&lt;40,"18-39",IF(B381&lt;60,"40-59","60+")))</f>
        <v>18-39</v>
      </c>
      <c r="N381" s="12" t="str">
        <f aca="false">IF(I381&lt;=1,"0-1 days",IF(I381&lt;=7,"2-7 days",IF(I381&lt;=30,"8-30 days","&gt;30 days")))</f>
        <v>8-30 days</v>
      </c>
    </row>
    <row r="382" customFormat="false" ht="15" hidden="false" customHeight="false" outlineLevel="0" collapsed="false">
      <c r="A382" s="12" t="s">
        <v>615</v>
      </c>
      <c r="B382" s="12" t="n">
        <v>59</v>
      </c>
      <c r="C382" s="12" t="s">
        <v>43</v>
      </c>
      <c r="D382" s="12" t="s">
        <v>35</v>
      </c>
      <c r="E382" s="12" t="s">
        <v>243</v>
      </c>
      <c r="F382" s="12" t="s">
        <v>45</v>
      </c>
      <c r="G382" s="12" t="s">
        <v>38</v>
      </c>
      <c r="H382" s="12" t="s">
        <v>39</v>
      </c>
      <c r="I382" s="12" t="n">
        <v>27</v>
      </c>
      <c r="J382" s="12" t="s">
        <v>40</v>
      </c>
      <c r="K382" s="12" t="s">
        <v>48</v>
      </c>
      <c r="L382" s="12" t="str">
        <f aca="false">IF(OR(H382="Severe",H382="Life-Threatening"),"Yes","No")</f>
        <v>No</v>
      </c>
      <c r="M382" s="12" t="str">
        <f aca="false">IF(B382&lt;18,"0-17",IF(B382&lt;40,"18-39",IF(B382&lt;60,"40-59","60+")))</f>
        <v>40-59</v>
      </c>
      <c r="N382" s="12" t="str">
        <f aca="false">IF(I382&lt;=1,"0-1 days",IF(I382&lt;=7,"2-7 days",IF(I382&lt;=30,"8-30 days","&gt;30 days")))</f>
        <v>8-30 days</v>
      </c>
    </row>
    <row r="383" customFormat="false" ht="15" hidden="false" customHeight="false" outlineLevel="0" collapsed="false">
      <c r="A383" s="12" t="s">
        <v>616</v>
      </c>
      <c r="B383" s="12" t="n">
        <v>55</v>
      </c>
      <c r="C383" s="12" t="s">
        <v>34</v>
      </c>
      <c r="D383" s="12" t="s">
        <v>35</v>
      </c>
      <c r="E383" s="12" t="s">
        <v>78</v>
      </c>
      <c r="F383" s="12" t="s">
        <v>79</v>
      </c>
      <c r="G383" s="12" t="s">
        <v>80</v>
      </c>
      <c r="H383" s="12" t="s">
        <v>39</v>
      </c>
      <c r="I383" s="12" t="n">
        <v>18</v>
      </c>
      <c r="J383" s="12" t="s">
        <v>40</v>
      </c>
      <c r="K383" s="12" t="s">
        <v>63</v>
      </c>
      <c r="L383" s="12" t="str">
        <f aca="false">IF(OR(H383="Severe",H383="Life-Threatening"),"Yes","No")</f>
        <v>No</v>
      </c>
      <c r="M383" s="12" t="str">
        <f aca="false">IF(B383&lt;18,"0-17",IF(B383&lt;40,"18-39",IF(B383&lt;60,"40-59","60+")))</f>
        <v>40-59</v>
      </c>
      <c r="N383" s="12" t="str">
        <f aca="false">IF(I383&lt;=1,"0-1 days",IF(I383&lt;=7,"2-7 days",IF(I383&lt;=30,"8-30 days","&gt;30 days")))</f>
        <v>8-30 days</v>
      </c>
    </row>
    <row r="384" customFormat="false" ht="15" hidden="false" customHeight="false" outlineLevel="0" collapsed="false">
      <c r="A384" s="12" t="s">
        <v>617</v>
      </c>
      <c r="B384" s="12" t="n">
        <v>76</v>
      </c>
      <c r="C384" s="12" t="s">
        <v>34</v>
      </c>
      <c r="D384" s="12" t="s">
        <v>35</v>
      </c>
      <c r="E384" s="12" t="s">
        <v>56</v>
      </c>
      <c r="F384" s="12" t="s">
        <v>100</v>
      </c>
      <c r="G384" s="12" t="s">
        <v>72</v>
      </c>
      <c r="H384" s="12" t="s">
        <v>46</v>
      </c>
      <c r="I384" s="12" t="n">
        <v>12</v>
      </c>
      <c r="J384" s="12" t="s">
        <v>47</v>
      </c>
      <c r="K384" s="12" t="s">
        <v>63</v>
      </c>
      <c r="L384" s="12" t="str">
        <f aca="false">IF(OR(H384="Severe",H384="Life-Threatening"),"Yes","No")</f>
        <v>No</v>
      </c>
      <c r="M384" s="12" t="str">
        <f aca="false">IF(B384&lt;18,"0-17",IF(B384&lt;40,"18-39",IF(B384&lt;60,"40-59","60+")))</f>
        <v>60+</v>
      </c>
      <c r="N384" s="12" t="str">
        <f aca="false">IF(I384&lt;=1,"0-1 days",IF(I384&lt;=7,"2-7 days",IF(I384&lt;=30,"8-30 days","&gt;30 days")))</f>
        <v>8-30 days</v>
      </c>
    </row>
    <row r="385" customFormat="false" ht="15" hidden="false" customHeight="false" outlineLevel="0" collapsed="false">
      <c r="A385" s="12" t="s">
        <v>618</v>
      </c>
      <c r="B385" s="12" t="n">
        <v>49</v>
      </c>
      <c r="C385" s="12" t="s">
        <v>34</v>
      </c>
      <c r="D385" s="12" t="s">
        <v>202</v>
      </c>
      <c r="E385" s="12" t="s">
        <v>253</v>
      </c>
      <c r="F385" s="12" t="s">
        <v>135</v>
      </c>
      <c r="G385" s="12" t="s">
        <v>136</v>
      </c>
      <c r="H385" s="12" t="s">
        <v>46</v>
      </c>
      <c r="I385" s="12" t="n">
        <v>28</v>
      </c>
      <c r="J385" s="12" t="s">
        <v>47</v>
      </c>
      <c r="K385" s="12" t="s">
        <v>63</v>
      </c>
      <c r="L385" s="12" t="str">
        <f aca="false">IF(OR(H385="Severe",H385="Life-Threatening"),"Yes","No")</f>
        <v>No</v>
      </c>
      <c r="M385" s="12" t="str">
        <f aca="false">IF(B385&lt;18,"0-17",IF(B385&lt;40,"18-39",IF(B385&lt;60,"40-59","60+")))</f>
        <v>40-59</v>
      </c>
      <c r="N385" s="12" t="str">
        <f aca="false">IF(I385&lt;=1,"0-1 days",IF(I385&lt;=7,"2-7 days",IF(I385&lt;=30,"8-30 days","&gt;30 days")))</f>
        <v>8-30 days</v>
      </c>
    </row>
    <row r="386" customFormat="false" ht="15" hidden="false" customHeight="false" outlineLevel="0" collapsed="false">
      <c r="A386" s="12" t="s">
        <v>619</v>
      </c>
      <c r="B386" s="12" t="n">
        <v>67</v>
      </c>
      <c r="C386" s="12" t="s">
        <v>43</v>
      </c>
      <c r="D386" s="12" t="s">
        <v>155</v>
      </c>
      <c r="E386" s="12" t="s">
        <v>268</v>
      </c>
      <c r="F386" s="12" t="s">
        <v>274</v>
      </c>
      <c r="G386" s="12" t="s">
        <v>146</v>
      </c>
      <c r="H386" s="12" t="s">
        <v>39</v>
      </c>
      <c r="I386" s="12" t="n">
        <v>20</v>
      </c>
      <c r="J386" s="12" t="s">
        <v>40</v>
      </c>
      <c r="K386" s="12" t="s">
        <v>63</v>
      </c>
      <c r="L386" s="12" t="str">
        <f aca="false">IF(OR(H386="Severe",H386="Life-Threatening"),"Yes","No")</f>
        <v>No</v>
      </c>
      <c r="M386" s="12" t="str">
        <f aca="false">IF(B386&lt;18,"0-17",IF(B386&lt;40,"18-39",IF(B386&lt;60,"40-59","60+")))</f>
        <v>60+</v>
      </c>
      <c r="N386" s="12" t="str">
        <f aca="false">IF(I386&lt;=1,"0-1 days",IF(I386&lt;=7,"2-7 days",IF(I386&lt;=30,"8-30 days","&gt;30 days")))</f>
        <v>8-30 days</v>
      </c>
    </row>
    <row r="387" customFormat="false" ht="15" hidden="false" customHeight="false" outlineLevel="0" collapsed="false">
      <c r="A387" s="12" t="s">
        <v>620</v>
      </c>
      <c r="B387" s="12" t="n">
        <v>68</v>
      </c>
      <c r="C387" s="12" t="s">
        <v>43</v>
      </c>
      <c r="D387" s="12" t="s">
        <v>163</v>
      </c>
      <c r="E387" s="12" t="s">
        <v>253</v>
      </c>
      <c r="F387" s="12" t="s">
        <v>135</v>
      </c>
      <c r="G387" s="12" t="s">
        <v>136</v>
      </c>
      <c r="H387" s="12" t="s">
        <v>39</v>
      </c>
      <c r="I387" s="12" t="n">
        <v>25</v>
      </c>
      <c r="J387" s="12" t="s">
        <v>47</v>
      </c>
      <c r="K387" s="12" t="s">
        <v>63</v>
      </c>
      <c r="L387" s="12" t="str">
        <f aca="false">IF(OR(H387="Severe",H387="Life-Threatening"),"Yes","No")</f>
        <v>No</v>
      </c>
      <c r="M387" s="12" t="str">
        <f aca="false">IF(B387&lt;18,"0-17",IF(B387&lt;40,"18-39",IF(B387&lt;60,"40-59","60+")))</f>
        <v>60+</v>
      </c>
      <c r="N387" s="12" t="str">
        <f aca="false">IF(I387&lt;=1,"0-1 days",IF(I387&lt;=7,"2-7 days",IF(I387&lt;=30,"8-30 days","&gt;30 days")))</f>
        <v>8-30 days</v>
      </c>
    </row>
    <row r="388" customFormat="false" ht="15" hidden="false" customHeight="false" outlineLevel="0" collapsed="false">
      <c r="A388" s="12" t="s">
        <v>621</v>
      </c>
      <c r="B388" s="12" t="n">
        <v>48</v>
      </c>
      <c r="C388" s="12" t="s">
        <v>43</v>
      </c>
      <c r="D388" s="12" t="s">
        <v>35</v>
      </c>
      <c r="E388" s="12" t="s">
        <v>65</v>
      </c>
      <c r="F388" s="12" t="s">
        <v>66</v>
      </c>
      <c r="G388" s="12" t="s">
        <v>38</v>
      </c>
      <c r="H388" s="12" t="s">
        <v>46</v>
      </c>
      <c r="I388" s="12" t="n">
        <v>19</v>
      </c>
      <c r="J388" s="12" t="s">
        <v>47</v>
      </c>
      <c r="K388" s="12" t="s">
        <v>48</v>
      </c>
      <c r="L388" s="12" t="str">
        <f aca="false">IF(OR(H388="Severe",H388="Life-Threatening"),"Yes","No")</f>
        <v>No</v>
      </c>
      <c r="M388" s="12" t="str">
        <f aca="false">IF(B388&lt;18,"0-17",IF(B388&lt;40,"18-39",IF(B388&lt;60,"40-59","60+")))</f>
        <v>40-59</v>
      </c>
      <c r="N388" s="12" t="str">
        <f aca="false">IF(I388&lt;=1,"0-1 days",IF(I388&lt;=7,"2-7 days",IF(I388&lt;=30,"8-30 days","&gt;30 days")))</f>
        <v>8-30 days</v>
      </c>
    </row>
    <row r="389" customFormat="false" ht="15" hidden="false" customHeight="false" outlineLevel="0" collapsed="false">
      <c r="A389" s="12" t="s">
        <v>622</v>
      </c>
      <c r="B389" s="12" t="n">
        <v>59</v>
      </c>
      <c r="C389" s="12" t="s">
        <v>34</v>
      </c>
      <c r="D389" s="12" t="s">
        <v>35</v>
      </c>
      <c r="E389" s="12" t="s">
        <v>121</v>
      </c>
      <c r="F389" s="12" t="s">
        <v>45</v>
      </c>
      <c r="G389" s="12" t="s">
        <v>38</v>
      </c>
      <c r="H389" s="12" t="s">
        <v>46</v>
      </c>
      <c r="I389" s="12" t="n">
        <v>13</v>
      </c>
      <c r="J389" s="12" t="s">
        <v>40</v>
      </c>
      <c r="K389" s="12" t="s">
        <v>63</v>
      </c>
      <c r="L389" s="12" t="str">
        <f aca="false">IF(OR(H389="Severe",H389="Life-Threatening"),"Yes","No")</f>
        <v>No</v>
      </c>
      <c r="M389" s="12" t="str">
        <f aca="false">IF(B389&lt;18,"0-17",IF(B389&lt;40,"18-39",IF(B389&lt;60,"40-59","60+")))</f>
        <v>40-59</v>
      </c>
      <c r="N389" s="12" t="str">
        <f aca="false">IF(I389&lt;=1,"0-1 days",IF(I389&lt;=7,"2-7 days",IF(I389&lt;=30,"8-30 days","&gt;30 days")))</f>
        <v>8-30 days</v>
      </c>
    </row>
    <row r="390" customFormat="false" ht="15" hidden="false" customHeight="false" outlineLevel="0" collapsed="false">
      <c r="A390" s="12" t="s">
        <v>623</v>
      </c>
      <c r="B390" s="12" t="n">
        <v>33</v>
      </c>
      <c r="C390" s="12" t="s">
        <v>43</v>
      </c>
      <c r="D390" s="12" t="s">
        <v>155</v>
      </c>
      <c r="E390" s="12" t="s">
        <v>65</v>
      </c>
      <c r="F390" s="12" t="s">
        <v>237</v>
      </c>
      <c r="G390" s="12" t="s">
        <v>80</v>
      </c>
      <c r="H390" s="12" t="s">
        <v>76</v>
      </c>
      <c r="I390" s="12" t="n">
        <v>32</v>
      </c>
      <c r="J390" s="12" t="s">
        <v>47</v>
      </c>
      <c r="K390" s="12" t="s">
        <v>48</v>
      </c>
      <c r="L390" s="12" t="str">
        <f aca="false">IF(OR(H390="Severe",H390="Life-Threatening"),"Yes","No")</f>
        <v>Yes</v>
      </c>
      <c r="M390" s="12" t="str">
        <f aca="false">IF(B390&lt;18,"0-17",IF(B390&lt;40,"18-39",IF(B390&lt;60,"40-59","60+")))</f>
        <v>18-39</v>
      </c>
      <c r="N390" s="12" t="str">
        <f aca="false">IF(I390&lt;=1,"0-1 days",IF(I390&lt;=7,"2-7 days",IF(I390&lt;=30,"8-30 days","&gt;30 days")))</f>
        <v>&gt;30 days</v>
      </c>
    </row>
    <row r="391" customFormat="false" ht="15" hidden="false" customHeight="false" outlineLevel="0" collapsed="false">
      <c r="A391" s="12" t="s">
        <v>624</v>
      </c>
      <c r="B391" s="12" t="n">
        <v>63</v>
      </c>
      <c r="C391" s="12" t="s">
        <v>34</v>
      </c>
      <c r="D391" s="12" t="s">
        <v>35</v>
      </c>
      <c r="E391" s="12" t="s">
        <v>51</v>
      </c>
      <c r="F391" s="12" t="s">
        <v>145</v>
      </c>
      <c r="G391" s="12" t="s">
        <v>146</v>
      </c>
      <c r="H391" s="12" t="s">
        <v>39</v>
      </c>
      <c r="I391" s="12" t="n">
        <v>30</v>
      </c>
      <c r="J391" s="12" t="s">
        <v>40</v>
      </c>
      <c r="K391" s="12" t="s">
        <v>63</v>
      </c>
      <c r="L391" s="12" t="str">
        <f aca="false">IF(OR(H391="Severe",H391="Life-Threatening"),"Yes","No")</f>
        <v>No</v>
      </c>
      <c r="M391" s="12" t="str">
        <f aca="false">IF(B391&lt;18,"0-17",IF(B391&lt;40,"18-39",IF(B391&lt;60,"40-59","60+")))</f>
        <v>60+</v>
      </c>
      <c r="N391" s="12" t="str">
        <f aca="false">IF(I391&lt;=1,"0-1 days",IF(I391&lt;=7,"2-7 days",IF(I391&lt;=30,"8-30 days","&gt;30 days")))</f>
        <v>8-30 days</v>
      </c>
    </row>
    <row r="392" customFormat="false" ht="15" hidden="false" customHeight="false" outlineLevel="0" collapsed="false">
      <c r="A392" s="12" t="s">
        <v>625</v>
      </c>
      <c r="B392" s="12" t="n">
        <v>75</v>
      </c>
      <c r="C392" s="12" t="s">
        <v>34</v>
      </c>
      <c r="D392" s="12" t="s">
        <v>155</v>
      </c>
      <c r="E392" s="12" t="s">
        <v>225</v>
      </c>
      <c r="F392" s="12" t="s">
        <v>139</v>
      </c>
      <c r="G392" s="12" t="s">
        <v>38</v>
      </c>
      <c r="H392" s="12" t="s">
        <v>76</v>
      </c>
      <c r="I392" s="12" t="n">
        <v>12</v>
      </c>
      <c r="J392" s="12" t="s">
        <v>47</v>
      </c>
      <c r="K392" s="12" t="s">
        <v>147</v>
      </c>
      <c r="L392" s="12" t="str">
        <f aca="false">IF(OR(H392="Severe",H392="Life-Threatening"),"Yes","No")</f>
        <v>Yes</v>
      </c>
      <c r="M392" s="12" t="str">
        <f aca="false">IF(B392&lt;18,"0-17",IF(B392&lt;40,"18-39",IF(B392&lt;60,"40-59","60+")))</f>
        <v>60+</v>
      </c>
      <c r="N392" s="12" t="str">
        <f aca="false">IF(I392&lt;=1,"0-1 days",IF(I392&lt;=7,"2-7 days",IF(I392&lt;=30,"8-30 days","&gt;30 days")))</f>
        <v>8-30 days</v>
      </c>
    </row>
    <row r="393" customFormat="false" ht="15" hidden="false" customHeight="false" outlineLevel="0" collapsed="false">
      <c r="A393" s="12" t="s">
        <v>626</v>
      </c>
      <c r="B393" s="12" t="n">
        <v>72</v>
      </c>
      <c r="C393" s="12" t="s">
        <v>34</v>
      </c>
      <c r="D393" s="12" t="s">
        <v>55</v>
      </c>
      <c r="E393" s="12" t="s">
        <v>241</v>
      </c>
      <c r="F393" s="12" t="s">
        <v>135</v>
      </c>
      <c r="G393" s="12" t="s">
        <v>136</v>
      </c>
      <c r="H393" s="12" t="s">
        <v>46</v>
      </c>
      <c r="I393" s="12" t="n">
        <v>16</v>
      </c>
      <c r="J393" s="12" t="s">
        <v>40</v>
      </c>
      <c r="K393" s="12" t="s">
        <v>48</v>
      </c>
      <c r="L393" s="12" t="str">
        <f aca="false">IF(OR(H393="Severe",H393="Life-Threatening"),"Yes","No")</f>
        <v>No</v>
      </c>
      <c r="M393" s="12" t="str">
        <f aca="false">IF(B393&lt;18,"0-17",IF(B393&lt;40,"18-39",IF(B393&lt;60,"40-59","60+")))</f>
        <v>60+</v>
      </c>
      <c r="N393" s="12" t="str">
        <f aca="false">IF(I393&lt;=1,"0-1 days",IF(I393&lt;=7,"2-7 days",IF(I393&lt;=30,"8-30 days","&gt;30 days")))</f>
        <v>8-30 days</v>
      </c>
    </row>
    <row r="394" customFormat="false" ht="15" hidden="false" customHeight="false" outlineLevel="0" collapsed="false">
      <c r="A394" s="12" t="s">
        <v>627</v>
      </c>
      <c r="B394" s="12" t="n">
        <v>63</v>
      </c>
      <c r="C394" s="12" t="s">
        <v>34</v>
      </c>
      <c r="D394" s="12" t="s">
        <v>234</v>
      </c>
      <c r="E394" s="12" t="s">
        <v>96</v>
      </c>
      <c r="F394" s="12" t="s">
        <v>97</v>
      </c>
      <c r="G394" s="12" t="s">
        <v>94</v>
      </c>
      <c r="H394" s="12" t="s">
        <v>76</v>
      </c>
      <c r="I394" s="12" t="n">
        <v>1</v>
      </c>
      <c r="J394" s="12" t="s">
        <v>105</v>
      </c>
      <c r="K394" s="12" t="s">
        <v>63</v>
      </c>
      <c r="L394" s="12" t="str">
        <f aca="false">IF(OR(H394="Severe",H394="Life-Threatening"),"Yes","No")</f>
        <v>Yes</v>
      </c>
      <c r="M394" s="12" t="str">
        <f aca="false">IF(B394&lt;18,"0-17",IF(B394&lt;40,"18-39",IF(B394&lt;60,"40-59","60+")))</f>
        <v>60+</v>
      </c>
      <c r="N394" s="12" t="str">
        <f aca="false">IF(I394&lt;=1,"0-1 days",IF(I394&lt;=7,"2-7 days",IF(I394&lt;=30,"8-30 days","&gt;30 days")))</f>
        <v>0-1 days</v>
      </c>
    </row>
    <row r="395" customFormat="false" ht="15" hidden="false" customHeight="false" outlineLevel="0" collapsed="false">
      <c r="A395" s="12" t="s">
        <v>628</v>
      </c>
      <c r="B395" s="12" t="n">
        <v>86</v>
      </c>
      <c r="C395" s="12" t="s">
        <v>34</v>
      </c>
      <c r="D395" s="12" t="s">
        <v>99</v>
      </c>
      <c r="E395" s="12" t="s">
        <v>198</v>
      </c>
      <c r="F395" s="12" t="s">
        <v>257</v>
      </c>
      <c r="G395" s="12" t="s">
        <v>80</v>
      </c>
      <c r="H395" s="12" t="s">
        <v>59</v>
      </c>
      <c r="I395" s="12" t="n">
        <v>43</v>
      </c>
      <c r="J395" s="12" t="s">
        <v>40</v>
      </c>
      <c r="K395" s="12" t="s">
        <v>63</v>
      </c>
      <c r="L395" s="12" t="str">
        <f aca="false">IF(OR(H395="Severe",H395="Life-Threatening"),"Yes","No")</f>
        <v>Yes</v>
      </c>
      <c r="M395" s="12" t="str">
        <f aca="false">IF(B395&lt;18,"0-17",IF(B395&lt;40,"18-39",IF(B395&lt;60,"40-59","60+")))</f>
        <v>60+</v>
      </c>
      <c r="N395" s="12" t="str">
        <f aca="false">IF(I395&lt;=1,"0-1 days",IF(I395&lt;=7,"2-7 days",IF(I395&lt;=30,"8-30 days","&gt;30 days")))</f>
        <v>&gt;30 days</v>
      </c>
    </row>
    <row r="396" customFormat="false" ht="15" hidden="false" customHeight="false" outlineLevel="0" collapsed="false">
      <c r="A396" s="12" t="s">
        <v>629</v>
      </c>
      <c r="B396" s="12" t="n">
        <v>49</v>
      </c>
      <c r="C396" s="12" t="s">
        <v>43</v>
      </c>
      <c r="D396" s="12" t="s">
        <v>99</v>
      </c>
      <c r="E396" s="12" t="s">
        <v>241</v>
      </c>
      <c r="F396" s="12" t="s">
        <v>135</v>
      </c>
      <c r="G396" s="12" t="s">
        <v>136</v>
      </c>
      <c r="H396" s="12" t="s">
        <v>39</v>
      </c>
      <c r="I396" s="12" t="n">
        <v>7</v>
      </c>
      <c r="J396" s="12" t="s">
        <v>40</v>
      </c>
      <c r="K396" s="12" t="s">
        <v>48</v>
      </c>
      <c r="L396" s="12" t="str">
        <f aca="false">IF(OR(H396="Severe",H396="Life-Threatening"),"Yes","No")</f>
        <v>No</v>
      </c>
      <c r="M396" s="12" t="str">
        <f aca="false">IF(B396&lt;18,"0-17",IF(B396&lt;40,"18-39",IF(B396&lt;60,"40-59","60+")))</f>
        <v>40-59</v>
      </c>
      <c r="N396" s="12" t="str">
        <f aca="false">IF(I396&lt;=1,"0-1 days",IF(I396&lt;=7,"2-7 days",IF(I396&lt;=30,"8-30 days","&gt;30 days")))</f>
        <v>2-7 days</v>
      </c>
    </row>
    <row r="397" customFormat="false" ht="15" hidden="false" customHeight="false" outlineLevel="0" collapsed="false">
      <c r="A397" s="12" t="s">
        <v>630</v>
      </c>
      <c r="B397" s="12" t="n">
        <v>54</v>
      </c>
      <c r="C397" s="12" t="s">
        <v>34</v>
      </c>
      <c r="D397" s="12" t="s">
        <v>55</v>
      </c>
      <c r="E397" s="12" t="s">
        <v>92</v>
      </c>
      <c r="F397" s="12" t="s">
        <v>93</v>
      </c>
      <c r="G397" s="12" t="s">
        <v>94</v>
      </c>
      <c r="H397" s="12" t="s">
        <v>39</v>
      </c>
      <c r="I397" s="12" t="n">
        <v>20</v>
      </c>
      <c r="J397" s="12" t="s">
        <v>40</v>
      </c>
      <c r="K397" s="12" t="s">
        <v>63</v>
      </c>
      <c r="L397" s="12" t="str">
        <f aca="false">IF(OR(H397="Severe",H397="Life-Threatening"),"Yes","No")</f>
        <v>No</v>
      </c>
      <c r="M397" s="12" t="str">
        <f aca="false">IF(B397&lt;18,"0-17",IF(B397&lt;40,"18-39",IF(B397&lt;60,"40-59","60+")))</f>
        <v>40-59</v>
      </c>
      <c r="N397" s="12" t="str">
        <f aca="false">IF(I397&lt;=1,"0-1 days",IF(I397&lt;=7,"2-7 days",IF(I397&lt;=30,"8-30 days","&gt;30 days")))</f>
        <v>8-30 days</v>
      </c>
    </row>
    <row r="398" customFormat="false" ht="15" hidden="false" customHeight="false" outlineLevel="0" collapsed="false">
      <c r="A398" s="12" t="s">
        <v>631</v>
      </c>
      <c r="B398" s="12" t="n">
        <v>52</v>
      </c>
      <c r="C398" s="12" t="s">
        <v>43</v>
      </c>
      <c r="D398" s="12" t="s">
        <v>69</v>
      </c>
      <c r="E398" s="12" t="s">
        <v>495</v>
      </c>
      <c r="F398" s="12" t="s">
        <v>403</v>
      </c>
      <c r="G398" s="12" t="s">
        <v>80</v>
      </c>
      <c r="H398" s="12" t="s">
        <v>46</v>
      </c>
      <c r="I398" s="12" t="n">
        <v>6</v>
      </c>
      <c r="J398" s="12" t="s">
        <v>40</v>
      </c>
      <c r="K398" s="12" t="s">
        <v>48</v>
      </c>
      <c r="L398" s="12" t="str">
        <f aca="false">IF(OR(H398="Severe",H398="Life-Threatening"),"Yes","No")</f>
        <v>No</v>
      </c>
      <c r="M398" s="12" t="str">
        <f aca="false">IF(B398&lt;18,"0-17",IF(B398&lt;40,"18-39",IF(B398&lt;60,"40-59","60+")))</f>
        <v>40-59</v>
      </c>
      <c r="N398" s="12" t="str">
        <f aca="false">IF(I398&lt;=1,"0-1 days",IF(I398&lt;=7,"2-7 days",IF(I398&lt;=30,"8-30 days","&gt;30 days")))</f>
        <v>2-7 days</v>
      </c>
    </row>
    <row r="399" customFormat="false" ht="15" hidden="false" customHeight="false" outlineLevel="0" collapsed="false">
      <c r="A399" s="12" t="s">
        <v>632</v>
      </c>
      <c r="B399" s="12" t="n">
        <v>54</v>
      </c>
      <c r="C399" s="12" t="s">
        <v>34</v>
      </c>
      <c r="D399" s="12" t="s">
        <v>327</v>
      </c>
      <c r="E399" s="12" t="s">
        <v>164</v>
      </c>
      <c r="F399" s="12" t="s">
        <v>305</v>
      </c>
      <c r="G399" s="12" t="s">
        <v>177</v>
      </c>
      <c r="H399" s="12" t="s">
        <v>39</v>
      </c>
      <c r="I399" s="12" t="n">
        <v>18</v>
      </c>
      <c r="J399" s="12" t="s">
        <v>47</v>
      </c>
      <c r="K399" s="12" t="s">
        <v>63</v>
      </c>
      <c r="L399" s="12" t="str">
        <f aca="false">IF(OR(H399="Severe",H399="Life-Threatening"),"Yes","No")</f>
        <v>No</v>
      </c>
      <c r="M399" s="12" t="str">
        <f aca="false">IF(B399&lt;18,"0-17",IF(B399&lt;40,"18-39",IF(B399&lt;60,"40-59","60+")))</f>
        <v>40-59</v>
      </c>
      <c r="N399" s="12" t="str">
        <f aca="false">IF(I399&lt;=1,"0-1 days",IF(I399&lt;=7,"2-7 days",IF(I399&lt;=30,"8-30 days","&gt;30 days")))</f>
        <v>8-30 days</v>
      </c>
    </row>
    <row r="400" customFormat="false" ht="15" hidden="false" customHeight="false" outlineLevel="0" collapsed="false">
      <c r="A400" s="12" t="s">
        <v>633</v>
      </c>
      <c r="B400" s="12" t="n">
        <v>47</v>
      </c>
      <c r="C400" s="12" t="s">
        <v>43</v>
      </c>
      <c r="D400" s="12" t="s">
        <v>35</v>
      </c>
      <c r="E400" s="12" t="s">
        <v>324</v>
      </c>
      <c r="F400" s="12" t="s">
        <v>45</v>
      </c>
      <c r="G400" s="12" t="s">
        <v>38</v>
      </c>
      <c r="H400" s="12" t="s">
        <v>46</v>
      </c>
      <c r="I400" s="12" t="n">
        <v>17</v>
      </c>
      <c r="J400" s="12" t="s">
        <v>40</v>
      </c>
      <c r="K400" s="12" t="s">
        <v>48</v>
      </c>
      <c r="L400" s="12" t="str">
        <f aca="false">IF(OR(H400="Severe",H400="Life-Threatening"),"Yes","No")</f>
        <v>No</v>
      </c>
      <c r="M400" s="12" t="str">
        <f aca="false">IF(B400&lt;18,"0-17",IF(B400&lt;40,"18-39",IF(B400&lt;60,"40-59","60+")))</f>
        <v>40-59</v>
      </c>
      <c r="N400" s="12" t="str">
        <f aca="false">IF(I400&lt;=1,"0-1 days",IF(I400&lt;=7,"2-7 days",IF(I400&lt;=30,"8-30 days","&gt;30 days")))</f>
        <v>8-30 days</v>
      </c>
    </row>
    <row r="401" customFormat="false" ht="15" hidden="false" customHeight="false" outlineLevel="0" collapsed="false">
      <c r="A401" s="12" t="s">
        <v>634</v>
      </c>
      <c r="B401" s="12" t="n">
        <v>80</v>
      </c>
      <c r="C401" s="12" t="s">
        <v>34</v>
      </c>
      <c r="D401" s="12" t="s">
        <v>196</v>
      </c>
      <c r="E401" s="12" t="s">
        <v>183</v>
      </c>
      <c r="F401" s="12" t="s">
        <v>139</v>
      </c>
      <c r="G401" s="12" t="s">
        <v>38</v>
      </c>
      <c r="H401" s="12" t="s">
        <v>76</v>
      </c>
      <c r="I401" s="12" t="n">
        <v>19</v>
      </c>
      <c r="J401" s="12" t="s">
        <v>67</v>
      </c>
      <c r="K401" s="12" t="s">
        <v>41</v>
      </c>
      <c r="L401" s="12" t="str">
        <f aca="false">IF(OR(H401="Severe",H401="Life-Threatening"),"Yes","No")</f>
        <v>Yes</v>
      </c>
      <c r="M401" s="12" t="str">
        <f aca="false">IF(B401&lt;18,"0-17",IF(B401&lt;40,"18-39",IF(B401&lt;60,"40-59","60+")))</f>
        <v>60+</v>
      </c>
      <c r="N401" s="12" t="str">
        <f aca="false">IF(I401&lt;=1,"0-1 days",IF(I401&lt;=7,"2-7 days",IF(I401&lt;=30,"8-30 days","&gt;30 days")))</f>
        <v>8-30 days</v>
      </c>
    </row>
    <row r="402" customFormat="false" ht="15" hidden="false" customHeight="false" outlineLevel="0" collapsed="false">
      <c r="A402" s="12" t="s">
        <v>635</v>
      </c>
      <c r="B402" s="12" t="n">
        <v>78</v>
      </c>
      <c r="C402" s="12" t="s">
        <v>43</v>
      </c>
      <c r="D402" s="12" t="s">
        <v>35</v>
      </c>
      <c r="E402" s="12" t="s">
        <v>130</v>
      </c>
      <c r="F402" s="12" t="s">
        <v>131</v>
      </c>
      <c r="G402" s="12" t="s">
        <v>94</v>
      </c>
      <c r="H402" s="12" t="s">
        <v>39</v>
      </c>
      <c r="I402" s="12" t="n">
        <v>9</v>
      </c>
      <c r="J402" s="12" t="s">
        <v>67</v>
      </c>
      <c r="K402" s="12" t="s">
        <v>147</v>
      </c>
      <c r="L402" s="12" t="str">
        <f aca="false">IF(OR(H402="Severe",H402="Life-Threatening"),"Yes","No")</f>
        <v>No</v>
      </c>
      <c r="M402" s="12" t="str">
        <f aca="false">IF(B402&lt;18,"0-17",IF(B402&lt;40,"18-39",IF(B402&lt;60,"40-59","60+")))</f>
        <v>60+</v>
      </c>
      <c r="N402" s="12" t="str">
        <f aca="false">IF(I402&lt;=1,"0-1 days",IF(I402&lt;=7,"2-7 days",IF(I402&lt;=30,"8-30 days","&gt;30 days")))</f>
        <v>8-30 days</v>
      </c>
    </row>
    <row r="403" customFormat="false" ht="15" hidden="false" customHeight="false" outlineLevel="0" collapsed="false">
      <c r="A403" s="12" t="s">
        <v>636</v>
      </c>
      <c r="B403" s="12" t="n">
        <v>28</v>
      </c>
      <c r="C403" s="12" t="s">
        <v>43</v>
      </c>
      <c r="D403" s="12" t="s">
        <v>55</v>
      </c>
      <c r="E403" s="12" t="s">
        <v>70</v>
      </c>
      <c r="F403" s="12" t="s">
        <v>108</v>
      </c>
      <c r="G403" s="12" t="s">
        <v>38</v>
      </c>
      <c r="H403" s="12" t="s">
        <v>46</v>
      </c>
      <c r="I403" s="12" t="n">
        <v>20</v>
      </c>
      <c r="J403" s="12" t="s">
        <v>47</v>
      </c>
      <c r="K403" s="12" t="s">
        <v>147</v>
      </c>
      <c r="L403" s="12" t="str">
        <f aca="false">IF(OR(H403="Severe",H403="Life-Threatening"),"Yes","No")</f>
        <v>No</v>
      </c>
      <c r="M403" s="12" t="str">
        <f aca="false">IF(B403&lt;18,"0-17",IF(B403&lt;40,"18-39",IF(B403&lt;60,"40-59","60+")))</f>
        <v>18-39</v>
      </c>
      <c r="N403" s="12" t="str">
        <f aca="false">IF(I403&lt;=1,"0-1 days",IF(I403&lt;=7,"2-7 days",IF(I403&lt;=30,"8-30 days","&gt;30 days")))</f>
        <v>8-30 days</v>
      </c>
    </row>
    <row r="404" customFormat="false" ht="15" hidden="false" customHeight="false" outlineLevel="0" collapsed="false">
      <c r="A404" s="12" t="s">
        <v>637</v>
      </c>
      <c r="B404" s="12" t="n">
        <v>7</v>
      </c>
      <c r="C404" s="12" t="s">
        <v>43</v>
      </c>
      <c r="D404" s="12" t="s">
        <v>35</v>
      </c>
      <c r="E404" s="12" t="s">
        <v>227</v>
      </c>
      <c r="F404" s="12" t="s">
        <v>264</v>
      </c>
      <c r="G404" s="12" t="s">
        <v>104</v>
      </c>
      <c r="H404" s="12" t="s">
        <v>76</v>
      </c>
      <c r="I404" s="12" t="n">
        <v>14</v>
      </c>
      <c r="J404" s="12" t="s">
        <v>169</v>
      </c>
      <c r="K404" s="12" t="s">
        <v>41</v>
      </c>
      <c r="L404" s="12" t="str">
        <f aca="false">IF(OR(H404="Severe",H404="Life-Threatening"),"Yes","No")</f>
        <v>Yes</v>
      </c>
      <c r="M404" s="12" t="str">
        <f aca="false">IF(B404&lt;18,"0-17",IF(B404&lt;40,"18-39",IF(B404&lt;60,"40-59","60+")))</f>
        <v>0-17</v>
      </c>
      <c r="N404" s="12" t="str">
        <f aca="false">IF(I404&lt;=1,"0-1 days",IF(I404&lt;=7,"2-7 days",IF(I404&lt;=30,"8-30 days","&gt;30 days")))</f>
        <v>8-30 days</v>
      </c>
    </row>
    <row r="405" customFormat="false" ht="15" hidden="false" customHeight="false" outlineLevel="0" collapsed="false">
      <c r="A405" s="12" t="s">
        <v>638</v>
      </c>
      <c r="B405" s="12" t="n">
        <v>42</v>
      </c>
      <c r="C405" s="12" t="s">
        <v>34</v>
      </c>
      <c r="D405" s="12" t="s">
        <v>55</v>
      </c>
      <c r="E405" s="12" t="s">
        <v>74</v>
      </c>
      <c r="F405" s="12" t="s">
        <v>139</v>
      </c>
      <c r="G405" s="12" t="s">
        <v>38</v>
      </c>
      <c r="H405" s="12" t="s">
        <v>39</v>
      </c>
      <c r="I405" s="12" t="n">
        <v>23</v>
      </c>
      <c r="J405" s="12" t="s">
        <v>169</v>
      </c>
      <c r="K405" s="12" t="s">
        <v>63</v>
      </c>
      <c r="L405" s="12" t="str">
        <f aca="false">IF(OR(H405="Severe",H405="Life-Threatening"),"Yes","No")</f>
        <v>No</v>
      </c>
      <c r="M405" s="12" t="str">
        <f aca="false">IF(B405&lt;18,"0-17",IF(B405&lt;40,"18-39",IF(B405&lt;60,"40-59","60+")))</f>
        <v>40-59</v>
      </c>
      <c r="N405" s="12" t="str">
        <f aca="false">IF(I405&lt;=1,"0-1 days",IF(I405&lt;=7,"2-7 days",IF(I405&lt;=30,"8-30 days","&gt;30 days")))</f>
        <v>8-30 days</v>
      </c>
    </row>
    <row r="406" customFormat="false" ht="15" hidden="false" customHeight="false" outlineLevel="0" collapsed="false">
      <c r="A406" s="12" t="s">
        <v>639</v>
      </c>
      <c r="B406" s="12" t="n">
        <v>68</v>
      </c>
      <c r="C406" s="12" t="s">
        <v>43</v>
      </c>
      <c r="D406" s="12" t="s">
        <v>50</v>
      </c>
      <c r="E406" s="12" t="s">
        <v>321</v>
      </c>
      <c r="F406" s="12" t="s">
        <v>142</v>
      </c>
      <c r="G406" s="12" t="s">
        <v>38</v>
      </c>
      <c r="H406" s="12" t="s">
        <v>39</v>
      </c>
      <c r="I406" s="12" t="n">
        <v>16</v>
      </c>
      <c r="J406" s="12" t="s">
        <v>40</v>
      </c>
      <c r="K406" s="12" t="s">
        <v>63</v>
      </c>
      <c r="L406" s="12" t="str">
        <f aca="false">IF(OR(H406="Severe",H406="Life-Threatening"),"Yes","No")</f>
        <v>No</v>
      </c>
      <c r="M406" s="12" t="str">
        <f aca="false">IF(B406&lt;18,"0-17",IF(B406&lt;40,"18-39",IF(B406&lt;60,"40-59","60+")))</f>
        <v>60+</v>
      </c>
      <c r="N406" s="12" t="str">
        <f aca="false">IF(I406&lt;=1,"0-1 days",IF(I406&lt;=7,"2-7 days",IF(I406&lt;=30,"8-30 days","&gt;30 days")))</f>
        <v>8-30 days</v>
      </c>
    </row>
    <row r="407" customFormat="false" ht="15" hidden="false" customHeight="false" outlineLevel="0" collapsed="false">
      <c r="A407" s="12" t="s">
        <v>640</v>
      </c>
      <c r="B407" s="12" t="n">
        <v>65</v>
      </c>
      <c r="C407" s="12" t="s">
        <v>43</v>
      </c>
      <c r="D407" s="12" t="s">
        <v>85</v>
      </c>
      <c r="E407" s="12" t="s">
        <v>208</v>
      </c>
      <c r="F407" s="12" t="s">
        <v>641</v>
      </c>
      <c r="G407" s="12" t="s">
        <v>152</v>
      </c>
      <c r="H407" s="12" t="s">
        <v>46</v>
      </c>
      <c r="I407" s="12" t="n">
        <v>12</v>
      </c>
      <c r="J407" s="12" t="s">
        <v>40</v>
      </c>
      <c r="K407" s="12" t="s">
        <v>63</v>
      </c>
      <c r="L407" s="12" t="str">
        <f aca="false">IF(OR(H407="Severe",H407="Life-Threatening"),"Yes","No")</f>
        <v>No</v>
      </c>
      <c r="M407" s="12" t="str">
        <f aca="false">IF(B407&lt;18,"0-17",IF(B407&lt;40,"18-39",IF(B407&lt;60,"40-59","60+")))</f>
        <v>60+</v>
      </c>
      <c r="N407" s="12" t="str">
        <f aca="false">IF(I407&lt;=1,"0-1 days",IF(I407&lt;=7,"2-7 days",IF(I407&lt;=30,"8-30 days","&gt;30 days")))</f>
        <v>8-30 days</v>
      </c>
    </row>
    <row r="408" customFormat="false" ht="15" hidden="false" customHeight="false" outlineLevel="0" collapsed="false">
      <c r="A408" s="12" t="s">
        <v>642</v>
      </c>
      <c r="B408" s="12" t="n">
        <v>51</v>
      </c>
      <c r="C408" s="12" t="s">
        <v>43</v>
      </c>
      <c r="D408" s="12" t="s">
        <v>55</v>
      </c>
      <c r="E408" s="12" t="s">
        <v>398</v>
      </c>
      <c r="F408" s="12" t="s">
        <v>37</v>
      </c>
      <c r="G408" s="12" t="s">
        <v>38</v>
      </c>
      <c r="H408" s="12" t="s">
        <v>39</v>
      </c>
      <c r="I408" s="12" t="n">
        <v>14</v>
      </c>
      <c r="J408" s="12" t="s">
        <v>40</v>
      </c>
      <c r="K408" s="12" t="s">
        <v>41</v>
      </c>
      <c r="L408" s="12" t="str">
        <f aca="false">IF(OR(H408="Severe",H408="Life-Threatening"),"Yes","No")</f>
        <v>No</v>
      </c>
      <c r="M408" s="12" t="str">
        <f aca="false">IF(B408&lt;18,"0-17",IF(B408&lt;40,"18-39",IF(B408&lt;60,"40-59","60+")))</f>
        <v>40-59</v>
      </c>
      <c r="N408" s="12" t="str">
        <f aca="false">IF(I408&lt;=1,"0-1 days",IF(I408&lt;=7,"2-7 days",IF(I408&lt;=30,"8-30 days","&gt;30 days")))</f>
        <v>8-30 days</v>
      </c>
    </row>
    <row r="409" customFormat="false" ht="15" hidden="false" customHeight="false" outlineLevel="0" collapsed="false">
      <c r="A409" s="12" t="s">
        <v>643</v>
      </c>
      <c r="B409" s="12" t="n">
        <v>65</v>
      </c>
      <c r="C409" s="12" t="s">
        <v>43</v>
      </c>
      <c r="D409" s="12" t="s">
        <v>55</v>
      </c>
      <c r="E409" s="12" t="s">
        <v>70</v>
      </c>
      <c r="F409" s="12" t="s">
        <v>108</v>
      </c>
      <c r="G409" s="12" t="s">
        <v>38</v>
      </c>
      <c r="H409" s="12" t="s">
        <v>39</v>
      </c>
      <c r="I409" s="12" t="n">
        <v>27</v>
      </c>
      <c r="J409" s="12" t="s">
        <v>40</v>
      </c>
      <c r="K409" s="12" t="s">
        <v>63</v>
      </c>
      <c r="L409" s="12" t="str">
        <f aca="false">IF(OR(H409="Severe",H409="Life-Threatening"),"Yes","No")</f>
        <v>No</v>
      </c>
      <c r="M409" s="12" t="str">
        <f aca="false">IF(B409&lt;18,"0-17",IF(B409&lt;40,"18-39",IF(B409&lt;60,"40-59","60+")))</f>
        <v>60+</v>
      </c>
      <c r="N409" s="12" t="str">
        <f aca="false">IF(I409&lt;=1,"0-1 days",IF(I409&lt;=7,"2-7 days",IF(I409&lt;=30,"8-30 days","&gt;30 days")))</f>
        <v>8-30 days</v>
      </c>
    </row>
    <row r="410" customFormat="false" ht="15" hidden="false" customHeight="false" outlineLevel="0" collapsed="false">
      <c r="A410" s="12" t="s">
        <v>644</v>
      </c>
      <c r="B410" s="12" t="n">
        <v>2</v>
      </c>
      <c r="C410" s="12" t="s">
        <v>34</v>
      </c>
      <c r="D410" s="12" t="s">
        <v>35</v>
      </c>
      <c r="E410" s="12" t="s">
        <v>307</v>
      </c>
      <c r="F410" s="12" t="s">
        <v>62</v>
      </c>
      <c r="G410" s="12" t="s">
        <v>53</v>
      </c>
      <c r="H410" s="12" t="s">
        <v>46</v>
      </c>
      <c r="I410" s="12" t="n">
        <v>21</v>
      </c>
      <c r="J410" s="12" t="s">
        <v>40</v>
      </c>
      <c r="K410" s="12" t="s">
        <v>63</v>
      </c>
      <c r="L410" s="12" t="str">
        <f aca="false">IF(OR(H410="Severe",H410="Life-Threatening"),"Yes","No")</f>
        <v>No</v>
      </c>
      <c r="M410" s="12" t="str">
        <f aca="false">IF(B410&lt;18,"0-17",IF(B410&lt;40,"18-39",IF(B410&lt;60,"40-59","60+")))</f>
        <v>0-17</v>
      </c>
      <c r="N410" s="12" t="str">
        <f aca="false">IF(I410&lt;=1,"0-1 days",IF(I410&lt;=7,"2-7 days",IF(I410&lt;=30,"8-30 days","&gt;30 days")))</f>
        <v>8-30 days</v>
      </c>
    </row>
    <row r="411" customFormat="false" ht="15" hidden="false" customHeight="false" outlineLevel="0" collapsed="false">
      <c r="A411" s="12" t="s">
        <v>645</v>
      </c>
      <c r="B411" s="12" t="n">
        <v>54</v>
      </c>
      <c r="C411" s="12" t="s">
        <v>34</v>
      </c>
      <c r="D411" s="12" t="s">
        <v>196</v>
      </c>
      <c r="E411" s="12" t="s">
        <v>200</v>
      </c>
      <c r="F411" s="12" t="s">
        <v>79</v>
      </c>
      <c r="G411" s="12" t="s">
        <v>80</v>
      </c>
      <c r="H411" s="12" t="s">
        <v>59</v>
      </c>
      <c r="I411" s="12" t="n">
        <v>12</v>
      </c>
      <c r="J411" s="12" t="s">
        <v>40</v>
      </c>
      <c r="K411" s="12" t="s">
        <v>48</v>
      </c>
      <c r="L411" s="12" t="str">
        <f aca="false">IF(OR(H411="Severe",H411="Life-Threatening"),"Yes","No")</f>
        <v>Yes</v>
      </c>
      <c r="M411" s="12" t="str">
        <f aca="false">IF(B411&lt;18,"0-17",IF(B411&lt;40,"18-39",IF(B411&lt;60,"40-59","60+")))</f>
        <v>40-59</v>
      </c>
      <c r="N411" s="12" t="str">
        <f aca="false">IF(I411&lt;=1,"0-1 days",IF(I411&lt;=7,"2-7 days",IF(I411&lt;=30,"8-30 days","&gt;30 days")))</f>
        <v>8-30 days</v>
      </c>
    </row>
    <row r="412" customFormat="false" ht="15" hidden="false" customHeight="false" outlineLevel="0" collapsed="false">
      <c r="A412" s="12" t="s">
        <v>646</v>
      </c>
      <c r="B412" s="12" t="n">
        <v>33</v>
      </c>
      <c r="C412" s="12" t="s">
        <v>34</v>
      </c>
      <c r="D412" s="12" t="s">
        <v>50</v>
      </c>
      <c r="E412" s="12" t="s">
        <v>134</v>
      </c>
      <c r="F412" s="12" t="s">
        <v>333</v>
      </c>
      <c r="G412" s="12" t="s">
        <v>104</v>
      </c>
      <c r="H412" s="12" t="s">
        <v>39</v>
      </c>
      <c r="I412" s="12" t="n">
        <v>14</v>
      </c>
      <c r="J412" s="12" t="s">
        <v>40</v>
      </c>
      <c r="K412" s="12" t="s">
        <v>48</v>
      </c>
      <c r="L412" s="12" t="str">
        <f aca="false">IF(OR(H412="Severe",H412="Life-Threatening"),"Yes","No")</f>
        <v>No</v>
      </c>
      <c r="M412" s="12" t="str">
        <f aca="false">IF(B412&lt;18,"0-17",IF(B412&lt;40,"18-39",IF(B412&lt;60,"40-59","60+")))</f>
        <v>18-39</v>
      </c>
      <c r="N412" s="12" t="str">
        <f aca="false">IF(I412&lt;=1,"0-1 days",IF(I412&lt;=7,"2-7 days",IF(I412&lt;=30,"8-30 days","&gt;30 days")))</f>
        <v>8-30 days</v>
      </c>
    </row>
    <row r="413" customFormat="false" ht="15" hidden="false" customHeight="false" outlineLevel="0" collapsed="false">
      <c r="A413" s="12" t="s">
        <v>647</v>
      </c>
      <c r="B413" s="12" t="n">
        <v>58</v>
      </c>
      <c r="C413" s="12" t="s">
        <v>34</v>
      </c>
      <c r="D413" s="12" t="s">
        <v>50</v>
      </c>
      <c r="E413" s="12" t="s">
        <v>324</v>
      </c>
      <c r="F413" s="12" t="s">
        <v>45</v>
      </c>
      <c r="G413" s="12" t="s">
        <v>38</v>
      </c>
      <c r="H413" s="12" t="s">
        <v>76</v>
      </c>
      <c r="I413" s="12" t="n">
        <v>13</v>
      </c>
      <c r="J413" s="12" t="s">
        <v>47</v>
      </c>
      <c r="K413" s="12" t="s">
        <v>41</v>
      </c>
      <c r="L413" s="12" t="str">
        <f aca="false">IF(OR(H413="Severe",H413="Life-Threatening"),"Yes","No")</f>
        <v>Yes</v>
      </c>
      <c r="M413" s="12" t="str">
        <f aca="false">IF(B413&lt;18,"0-17",IF(B413&lt;40,"18-39",IF(B413&lt;60,"40-59","60+")))</f>
        <v>40-59</v>
      </c>
      <c r="N413" s="12" t="str">
        <f aca="false">IF(I413&lt;=1,"0-1 days",IF(I413&lt;=7,"2-7 days",IF(I413&lt;=30,"8-30 days","&gt;30 days")))</f>
        <v>8-30 days</v>
      </c>
    </row>
    <row r="414" customFormat="false" ht="15" hidden="false" customHeight="false" outlineLevel="0" collapsed="false">
      <c r="A414" s="12" t="s">
        <v>648</v>
      </c>
      <c r="B414" s="12" t="n">
        <v>52</v>
      </c>
      <c r="C414" s="12" t="s">
        <v>43</v>
      </c>
      <c r="D414" s="12" t="s">
        <v>99</v>
      </c>
      <c r="E414" s="12" t="s">
        <v>113</v>
      </c>
      <c r="F414" s="12" t="s">
        <v>62</v>
      </c>
      <c r="G414" s="12" t="s">
        <v>53</v>
      </c>
      <c r="H414" s="12" t="s">
        <v>39</v>
      </c>
      <c r="I414" s="12" t="n">
        <v>1</v>
      </c>
      <c r="J414" s="12" t="s">
        <v>67</v>
      </c>
      <c r="K414" s="12" t="s">
        <v>63</v>
      </c>
      <c r="L414" s="12" t="str">
        <f aca="false">IF(OR(H414="Severe",H414="Life-Threatening"),"Yes","No")</f>
        <v>No</v>
      </c>
      <c r="M414" s="12" t="str">
        <f aca="false">IF(B414&lt;18,"0-17",IF(B414&lt;40,"18-39",IF(B414&lt;60,"40-59","60+")))</f>
        <v>40-59</v>
      </c>
      <c r="N414" s="12" t="str">
        <f aca="false">IF(I414&lt;=1,"0-1 days",IF(I414&lt;=7,"2-7 days",IF(I414&lt;=30,"8-30 days","&gt;30 days")))</f>
        <v>0-1 days</v>
      </c>
    </row>
    <row r="415" customFormat="false" ht="15" hidden="false" customHeight="false" outlineLevel="0" collapsed="false">
      <c r="A415" s="12" t="s">
        <v>649</v>
      </c>
      <c r="B415" s="12" t="n">
        <v>34</v>
      </c>
      <c r="C415" s="12" t="s">
        <v>43</v>
      </c>
      <c r="D415" s="12" t="s">
        <v>245</v>
      </c>
      <c r="E415" s="12" t="s">
        <v>268</v>
      </c>
      <c r="F415" s="12" t="s">
        <v>364</v>
      </c>
      <c r="G415" s="12" t="s">
        <v>38</v>
      </c>
      <c r="H415" s="12" t="s">
        <v>59</v>
      </c>
      <c r="I415" s="12" t="n">
        <v>4</v>
      </c>
      <c r="J415" s="12" t="s">
        <v>67</v>
      </c>
      <c r="K415" s="12" t="s">
        <v>48</v>
      </c>
      <c r="L415" s="12" t="str">
        <f aca="false">IF(OR(H415="Severe",H415="Life-Threatening"),"Yes","No")</f>
        <v>Yes</v>
      </c>
      <c r="M415" s="12" t="str">
        <f aca="false">IF(B415&lt;18,"0-17",IF(B415&lt;40,"18-39",IF(B415&lt;60,"40-59","60+")))</f>
        <v>18-39</v>
      </c>
      <c r="N415" s="12" t="str">
        <f aca="false">IF(I415&lt;=1,"0-1 days",IF(I415&lt;=7,"2-7 days",IF(I415&lt;=30,"8-30 days","&gt;30 days")))</f>
        <v>2-7 days</v>
      </c>
    </row>
    <row r="416" customFormat="false" ht="15" hidden="false" customHeight="false" outlineLevel="0" collapsed="false">
      <c r="A416" s="12" t="s">
        <v>650</v>
      </c>
      <c r="B416" s="12" t="n">
        <v>24</v>
      </c>
      <c r="C416" s="12" t="s">
        <v>43</v>
      </c>
      <c r="D416" s="12" t="s">
        <v>194</v>
      </c>
      <c r="E416" s="12" t="s">
        <v>89</v>
      </c>
      <c r="F416" s="12" t="s">
        <v>37</v>
      </c>
      <c r="G416" s="12" t="s">
        <v>38</v>
      </c>
      <c r="H416" s="12" t="s">
        <v>46</v>
      </c>
      <c r="I416" s="12" t="n">
        <v>29</v>
      </c>
      <c r="J416" s="12" t="s">
        <v>47</v>
      </c>
      <c r="K416" s="12" t="s">
        <v>48</v>
      </c>
      <c r="L416" s="12" t="str">
        <f aca="false">IF(OR(H416="Severe",H416="Life-Threatening"),"Yes","No")</f>
        <v>No</v>
      </c>
      <c r="M416" s="12" t="str">
        <f aca="false">IF(B416&lt;18,"0-17",IF(B416&lt;40,"18-39",IF(B416&lt;60,"40-59","60+")))</f>
        <v>18-39</v>
      </c>
      <c r="N416" s="12" t="str">
        <f aca="false">IF(I416&lt;=1,"0-1 days",IF(I416&lt;=7,"2-7 days",IF(I416&lt;=30,"8-30 days","&gt;30 days")))</f>
        <v>8-30 days</v>
      </c>
    </row>
    <row r="417" customFormat="false" ht="15" hidden="false" customHeight="false" outlineLevel="0" collapsed="false">
      <c r="A417" s="12" t="s">
        <v>651</v>
      </c>
      <c r="B417" s="12" t="n">
        <v>51</v>
      </c>
      <c r="C417" s="12" t="s">
        <v>34</v>
      </c>
      <c r="D417" s="12" t="s">
        <v>144</v>
      </c>
      <c r="E417" s="12" t="s">
        <v>158</v>
      </c>
      <c r="F417" s="12" t="s">
        <v>62</v>
      </c>
      <c r="G417" s="12" t="s">
        <v>53</v>
      </c>
      <c r="H417" s="12" t="s">
        <v>39</v>
      </c>
      <c r="I417" s="12" t="n">
        <v>23</v>
      </c>
      <c r="J417" s="12" t="s">
        <v>40</v>
      </c>
      <c r="K417" s="12" t="s">
        <v>41</v>
      </c>
      <c r="L417" s="12" t="str">
        <f aca="false">IF(OR(H417="Severe",H417="Life-Threatening"),"Yes","No")</f>
        <v>No</v>
      </c>
      <c r="M417" s="12" t="str">
        <f aca="false">IF(B417&lt;18,"0-17",IF(B417&lt;40,"18-39",IF(B417&lt;60,"40-59","60+")))</f>
        <v>40-59</v>
      </c>
      <c r="N417" s="12" t="str">
        <f aca="false">IF(I417&lt;=1,"0-1 days",IF(I417&lt;=7,"2-7 days",IF(I417&lt;=30,"8-30 days","&gt;30 days")))</f>
        <v>8-30 days</v>
      </c>
    </row>
    <row r="418" customFormat="false" ht="15" hidden="false" customHeight="false" outlineLevel="0" collapsed="false">
      <c r="A418" s="12" t="s">
        <v>652</v>
      </c>
      <c r="B418" s="12" t="n">
        <v>72</v>
      </c>
      <c r="C418" s="12" t="s">
        <v>43</v>
      </c>
      <c r="D418" s="12" t="s">
        <v>144</v>
      </c>
      <c r="E418" s="12" t="s">
        <v>239</v>
      </c>
      <c r="F418" s="12" t="s">
        <v>62</v>
      </c>
      <c r="G418" s="12" t="s">
        <v>53</v>
      </c>
      <c r="H418" s="12" t="s">
        <v>39</v>
      </c>
      <c r="I418" s="12" t="n">
        <v>3</v>
      </c>
      <c r="J418" s="12" t="s">
        <v>40</v>
      </c>
      <c r="K418" s="12" t="s">
        <v>48</v>
      </c>
      <c r="L418" s="12" t="str">
        <f aca="false">IF(OR(H418="Severe",H418="Life-Threatening"),"Yes","No")</f>
        <v>No</v>
      </c>
      <c r="M418" s="12" t="str">
        <f aca="false">IF(B418&lt;18,"0-17",IF(B418&lt;40,"18-39",IF(B418&lt;60,"40-59","60+")))</f>
        <v>60+</v>
      </c>
      <c r="N418" s="12" t="str">
        <f aca="false">IF(I418&lt;=1,"0-1 days",IF(I418&lt;=7,"2-7 days",IF(I418&lt;=30,"8-30 days","&gt;30 days")))</f>
        <v>2-7 days</v>
      </c>
    </row>
    <row r="419" customFormat="false" ht="15" hidden="false" customHeight="false" outlineLevel="0" collapsed="false">
      <c r="A419" s="12" t="s">
        <v>653</v>
      </c>
      <c r="B419" s="12" t="n">
        <v>39</v>
      </c>
      <c r="C419" s="12" t="s">
        <v>34</v>
      </c>
      <c r="D419" s="12" t="s">
        <v>231</v>
      </c>
      <c r="E419" s="12" t="s">
        <v>141</v>
      </c>
      <c r="F419" s="12" t="s">
        <v>305</v>
      </c>
      <c r="G419" s="12" t="s">
        <v>177</v>
      </c>
      <c r="H419" s="12" t="s">
        <v>39</v>
      </c>
      <c r="I419" s="12" t="n">
        <v>22</v>
      </c>
      <c r="J419" s="12" t="s">
        <v>47</v>
      </c>
      <c r="K419" s="12" t="s">
        <v>48</v>
      </c>
      <c r="L419" s="12" t="str">
        <f aca="false">IF(OR(H419="Severe",H419="Life-Threatening"),"Yes","No")</f>
        <v>No</v>
      </c>
      <c r="M419" s="12" t="str">
        <f aca="false">IF(B419&lt;18,"0-17",IF(B419&lt;40,"18-39",IF(B419&lt;60,"40-59","60+")))</f>
        <v>18-39</v>
      </c>
      <c r="N419" s="12" t="str">
        <f aca="false">IF(I419&lt;=1,"0-1 days",IF(I419&lt;=7,"2-7 days",IF(I419&lt;=30,"8-30 days","&gt;30 days")))</f>
        <v>8-30 days</v>
      </c>
    </row>
    <row r="420" customFormat="false" ht="15" hidden="false" customHeight="false" outlineLevel="0" collapsed="false">
      <c r="A420" s="12" t="s">
        <v>654</v>
      </c>
      <c r="B420" s="12" t="n">
        <v>59</v>
      </c>
      <c r="C420" s="12" t="s">
        <v>43</v>
      </c>
      <c r="D420" s="12" t="s">
        <v>50</v>
      </c>
      <c r="E420" s="12" t="s">
        <v>113</v>
      </c>
      <c r="F420" s="12" t="s">
        <v>62</v>
      </c>
      <c r="G420" s="12" t="s">
        <v>53</v>
      </c>
      <c r="H420" s="12" t="s">
        <v>76</v>
      </c>
      <c r="I420" s="12" t="n">
        <v>28</v>
      </c>
      <c r="J420" s="12" t="s">
        <v>47</v>
      </c>
      <c r="K420" s="12" t="s">
        <v>48</v>
      </c>
      <c r="L420" s="12" t="str">
        <f aca="false">IF(OR(H420="Severe",H420="Life-Threatening"),"Yes","No")</f>
        <v>Yes</v>
      </c>
      <c r="M420" s="12" t="str">
        <f aca="false">IF(B420&lt;18,"0-17",IF(B420&lt;40,"18-39",IF(B420&lt;60,"40-59","60+")))</f>
        <v>40-59</v>
      </c>
      <c r="N420" s="12" t="str">
        <f aca="false">IF(I420&lt;=1,"0-1 days",IF(I420&lt;=7,"2-7 days",IF(I420&lt;=30,"8-30 days","&gt;30 days")))</f>
        <v>8-30 days</v>
      </c>
    </row>
    <row r="421" customFormat="false" ht="15" hidden="false" customHeight="false" outlineLevel="0" collapsed="false">
      <c r="A421" s="12" t="s">
        <v>655</v>
      </c>
      <c r="B421" s="12" t="n">
        <v>46</v>
      </c>
      <c r="C421" s="12" t="s">
        <v>43</v>
      </c>
      <c r="D421" s="12" t="s">
        <v>155</v>
      </c>
      <c r="E421" s="12" t="s">
        <v>656</v>
      </c>
      <c r="F421" s="12" t="s">
        <v>435</v>
      </c>
      <c r="G421" s="12" t="s">
        <v>146</v>
      </c>
      <c r="H421" s="12" t="s">
        <v>76</v>
      </c>
      <c r="I421" s="12" t="n">
        <v>19</v>
      </c>
      <c r="J421" s="12" t="s">
        <v>47</v>
      </c>
      <c r="K421" s="12" t="s">
        <v>147</v>
      </c>
      <c r="L421" s="12" t="str">
        <f aca="false">IF(OR(H421="Severe",H421="Life-Threatening"),"Yes","No")</f>
        <v>Yes</v>
      </c>
      <c r="M421" s="12" t="str">
        <f aca="false">IF(B421&lt;18,"0-17",IF(B421&lt;40,"18-39",IF(B421&lt;60,"40-59","60+")))</f>
        <v>40-59</v>
      </c>
      <c r="N421" s="12" t="str">
        <f aca="false">IF(I421&lt;=1,"0-1 days",IF(I421&lt;=7,"2-7 days",IF(I421&lt;=30,"8-30 days","&gt;30 days")))</f>
        <v>8-30 days</v>
      </c>
    </row>
    <row r="422" customFormat="false" ht="15" hidden="false" customHeight="false" outlineLevel="0" collapsed="false">
      <c r="A422" s="12" t="s">
        <v>657</v>
      </c>
      <c r="B422" s="12" t="n">
        <v>10</v>
      </c>
      <c r="C422" s="12" t="s">
        <v>43</v>
      </c>
      <c r="D422" s="12" t="s">
        <v>117</v>
      </c>
      <c r="E422" s="12" t="s">
        <v>36</v>
      </c>
      <c r="F422" s="12" t="s">
        <v>364</v>
      </c>
      <c r="G422" s="12" t="s">
        <v>38</v>
      </c>
      <c r="H422" s="12" t="s">
        <v>76</v>
      </c>
      <c r="I422" s="12" t="n">
        <v>18</v>
      </c>
      <c r="J422" s="12" t="s">
        <v>67</v>
      </c>
      <c r="K422" s="12" t="s">
        <v>48</v>
      </c>
      <c r="L422" s="12" t="str">
        <f aca="false">IF(OR(H422="Severe",H422="Life-Threatening"),"Yes","No")</f>
        <v>Yes</v>
      </c>
      <c r="M422" s="12" t="str">
        <f aca="false">IF(B422&lt;18,"0-17",IF(B422&lt;40,"18-39",IF(B422&lt;60,"40-59","60+")))</f>
        <v>0-17</v>
      </c>
      <c r="N422" s="12" t="str">
        <f aca="false">IF(I422&lt;=1,"0-1 days",IF(I422&lt;=7,"2-7 days",IF(I422&lt;=30,"8-30 days","&gt;30 days")))</f>
        <v>8-30 days</v>
      </c>
    </row>
    <row r="423" customFormat="false" ht="15" hidden="false" customHeight="false" outlineLevel="0" collapsed="false">
      <c r="A423" s="12" t="s">
        <v>658</v>
      </c>
      <c r="B423" s="12" t="n">
        <v>30</v>
      </c>
      <c r="C423" s="12" t="s">
        <v>43</v>
      </c>
      <c r="D423" s="12" t="s">
        <v>112</v>
      </c>
      <c r="E423" s="12" t="s">
        <v>243</v>
      </c>
      <c r="F423" s="12" t="s">
        <v>348</v>
      </c>
      <c r="G423" s="12" t="s">
        <v>94</v>
      </c>
      <c r="H423" s="12" t="s">
        <v>59</v>
      </c>
      <c r="I423" s="12" t="n">
        <v>14</v>
      </c>
      <c r="J423" s="12" t="s">
        <v>67</v>
      </c>
      <c r="K423" s="12" t="s">
        <v>63</v>
      </c>
      <c r="L423" s="12" t="str">
        <f aca="false">IF(OR(H423="Severe",H423="Life-Threatening"),"Yes","No")</f>
        <v>Yes</v>
      </c>
      <c r="M423" s="12" t="str">
        <f aca="false">IF(B423&lt;18,"0-17",IF(B423&lt;40,"18-39",IF(B423&lt;60,"40-59","60+")))</f>
        <v>18-39</v>
      </c>
      <c r="N423" s="12" t="str">
        <f aca="false">IF(I423&lt;=1,"0-1 days",IF(I423&lt;=7,"2-7 days",IF(I423&lt;=30,"8-30 days","&gt;30 days")))</f>
        <v>8-30 days</v>
      </c>
    </row>
    <row r="424" customFormat="false" ht="15" hidden="false" customHeight="false" outlineLevel="0" collapsed="false">
      <c r="A424" s="12" t="s">
        <v>659</v>
      </c>
      <c r="B424" s="12" t="n">
        <v>73</v>
      </c>
      <c r="C424" s="12" t="s">
        <v>34</v>
      </c>
      <c r="D424" s="12" t="s">
        <v>55</v>
      </c>
      <c r="E424" s="12" t="s">
        <v>113</v>
      </c>
      <c r="F424" s="12" t="s">
        <v>219</v>
      </c>
      <c r="G424" s="12" t="s">
        <v>53</v>
      </c>
      <c r="H424" s="12" t="s">
        <v>46</v>
      </c>
      <c r="I424" s="12" t="n">
        <v>15</v>
      </c>
      <c r="J424" s="12" t="s">
        <v>40</v>
      </c>
      <c r="K424" s="12" t="s">
        <v>63</v>
      </c>
      <c r="L424" s="12" t="str">
        <f aca="false">IF(OR(H424="Severe",H424="Life-Threatening"),"Yes","No")</f>
        <v>No</v>
      </c>
      <c r="M424" s="12" t="str">
        <f aca="false">IF(B424&lt;18,"0-17",IF(B424&lt;40,"18-39",IF(B424&lt;60,"40-59","60+")))</f>
        <v>60+</v>
      </c>
      <c r="N424" s="12" t="str">
        <f aca="false">IF(I424&lt;=1,"0-1 days",IF(I424&lt;=7,"2-7 days",IF(I424&lt;=30,"8-30 days","&gt;30 days")))</f>
        <v>8-30 days</v>
      </c>
    </row>
    <row r="425" customFormat="false" ht="15" hidden="false" customHeight="false" outlineLevel="0" collapsed="false">
      <c r="A425" s="12" t="s">
        <v>660</v>
      </c>
      <c r="B425" s="12" t="n">
        <v>30</v>
      </c>
      <c r="C425" s="12" t="s">
        <v>43</v>
      </c>
      <c r="D425" s="12" t="s">
        <v>35</v>
      </c>
      <c r="E425" s="12" t="s">
        <v>213</v>
      </c>
      <c r="F425" s="12" t="s">
        <v>214</v>
      </c>
      <c r="G425" s="12" t="s">
        <v>115</v>
      </c>
      <c r="H425" s="12" t="s">
        <v>46</v>
      </c>
      <c r="I425" s="12" t="n">
        <v>10</v>
      </c>
      <c r="J425" s="12" t="s">
        <v>169</v>
      </c>
      <c r="K425" s="12" t="s">
        <v>63</v>
      </c>
      <c r="L425" s="12" t="str">
        <f aca="false">IF(OR(H425="Severe",H425="Life-Threatening"),"Yes","No")</f>
        <v>No</v>
      </c>
      <c r="M425" s="12" t="str">
        <f aca="false">IF(B425&lt;18,"0-17",IF(B425&lt;40,"18-39",IF(B425&lt;60,"40-59","60+")))</f>
        <v>18-39</v>
      </c>
      <c r="N425" s="12" t="str">
        <f aca="false">IF(I425&lt;=1,"0-1 days",IF(I425&lt;=7,"2-7 days",IF(I425&lt;=30,"8-30 days","&gt;30 days")))</f>
        <v>8-30 days</v>
      </c>
    </row>
    <row r="426" customFormat="false" ht="15" hidden="false" customHeight="false" outlineLevel="0" collapsed="false">
      <c r="A426" s="12" t="s">
        <v>661</v>
      </c>
      <c r="B426" s="12" t="n">
        <v>47</v>
      </c>
      <c r="C426" s="12" t="s">
        <v>34</v>
      </c>
      <c r="D426" s="12" t="s">
        <v>245</v>
      </c>
      <c r="E426" s="12" t="s">
        <v>268</v>
      </c>
      <c r="F426" s="12" t="s">
        <v>364</v>
      </c>
      <c r="G426" s="12" t="s">
        <v>38</v>
      </c>
      <c r="H426" s="12" t="s">
        <v>76</v>
      </c>
      <c r="I426" s="12" t="n">
        <v>8</v>
      </c>
      <c r="J426" s="12" t="s">
        <v>47</v>
      </c>
      <c r="K426" s="12" t="s">
        <v>147</v>
      </c>
      <c r="L426" s="12" t="str">
        <f aca="false">IF(OR(H426="Severe",H426="Life-Threatening"),"Yes","No")</f>
        <v>Yes</v>
      </c>
      <c r="M426" s="12" t="str">
        <f aca="false">IF(B426&lt;18,"0-17",IF(B426&lt;40,"18-39",IF(B426&lt;60,"40-59","60+")))</f>
        <v>40-59</v>
      </c>
      <c r="N426" s="12" t="str">
        <f aca="false">IF(I426&lt;=1,"0-1 days",IF(I426&lt;=7,"2-7 days",IF(I426&lt;=30,"8-30 days","&gt;30 days")))</f>
        <v>8-30 days</v>
      </c>
    </row>
    <row r="427" customFormat="false" ht="15" hidden="false" customHeight="false" outlineLevel="0" collapsed="false">
      <c r="A427" s="12" t="s">
        <v>662</v>
      </c>
      <c r="B427" s="12" t="n">
        <v>67</v>
      </c>
      <c r="C427" s="12" t="s">
        <v>43</v>
      </c>
      <c r="D427" s="12" t="s">
        <v>91</v>
      </c>
      <c r="E427" s="12" t="s">
        <v>398</v>
      </c>
      <c r="F427" s="12" t="s">
        <v>37</v>
      </c>
      <c r="G427" s="12" t="s">
        <v>38</v>
      </c>
      <c r="H427" s="12" t="s">
        <v>46</v>
      </c>
      <c r="I427" s="12" t="n">
        <v>25</v>
      </c>
      <c r="J427" s="12" t="s">
        <v>40</v>
      </c>
      <c r="K427" s="12" t="s">
        <v>48</v>
      </c>
      <c r="L427" s="12" t="str">
        <f aca="false">IF(OR(H427="Severe",H427="Life-Threatening"),"Yes","No")</f>
        <v>No</v>
      </c>
      <c r="M427" s="12" t="str">
        <f aca="false">IF(B427&lt;18,"0-17",IF(B427&lt;40,"18-39",IF(B427&lt;60,"40-59","60+")))</f>
        <v>60+</v>
      </c>
      <c r="N427" s="12" t="str">
        <f aca="false">IF(I427&lt;=1,"0-1 days",IF(I427&lt;=7,"2-7 days",IF(I427&lt;=30,"8-30 days","&gt;30 days")))</f>
        <v>8-30 days</v>
      </c>
    </row>
    <row r="428" customFormat="false" ht="15" hidden="false" customHeight="false" outlineLevel="0" collapsed="false">
      <c r="A428" s="12" t="s">
        <v>663</v>
      </c>
      <c r="B428" s="12" t="n">
        <v>37</v>
      </c>
      <c r="C428" s="12" t="s">
        <v>34</v>
      </c>
      <c r="D428" s="12" t="s">
        <v>190</v>
      </c>
      <c r="E428" s="12" t="s">
        <v>266</v>
      </c>
      <c r="F428" s="12" t="s">
        <v>214</v>
      </c>
      <c r="G428" s="12" t="s">
        <v>115</v>
      </c>
      <c r="H428" s="12" t="s">
        <v>39</v>
      </c>
      <c r="I428" s="12" t="n">
        <v>1</v>
      </c>
      <c r="J428" s="12" t="s">
        <v>40</v>
      </c>
      <c r="K428" s="12" t="s">
        <v>48</v>
      </c>
      <c r="L428" s="12" t="str">
        <f aca="false">IF(OR(H428="Severe",H428="Life-Threatening"),"Yes","No")</f>
        <v>No</v>
      </c>
      <c r="M428" s="12" t="str">
        <f aca="false">IF(B428&lt;18,"0-17",IF(B428&lt;40,"18-39",IF(B428&lt;60,"40-59","60+")))</f>
        <v>18-39</v>
      </c>
      <c r="N428" s="12" t="str">
        <f aca="false">IF(I428&lt;=1,"0-1 days",IF(I428&lt;=7,"2-7 days",IF(I428&lt;=30,"8-30 days","&gt;30 days")))</f>
        <v>0-1 days</v>
      </c>
    </row>
    <row r="429" customFormat="false" ht="15" hidden="false" customHeight="false" outlineLevel="0" collapsed="false">
      <c r="A429" s="12" t="s">
        <v>664</v>
      </c>
      <c r="B429" s="12" t="n">
        <v>95</v>
      </c>
      <c r="C429" s="12" t="s">
        <v>43</v>
      </c>
      <c r="D429" s="12" t="s">
        <v>69</v>
      </c>
      <c r="E429" s="12" t="s">
        <v>89</v>
      </c>
      <c r="F429" s="12" t="s">
        <v>37</v>
      </c>
      <c r="G429" s="12" t="s">
        <v>38</v>
      </c>
      <c r="H429" s="12" t="s">
        <v>46</v>
      </c>
      <c r="I429" s="12" t="n">
        <v>6</v>
      </c>
      <c r="J429" s="12" t="s">
        <v>40</v>
      </c>
      <c r="K429" s="12" t="s">
        <v>41</v>
      </c>
      <c r="L429" s="12" t="str">
        <f aca="false">IF(OR(H429="Severe",H429="Life-Threatening"),"Yes","No")</f>
        <v>No</v>
      </c>
      <c r="M429" s="12" t="str">
        <f aca="false">IF(B429&lt;18,"0-17",IF(B429&lt;40,"18-39",IF(B429&lt;60,"40-59","60+")))</f>
        <v>60+</v>
      </c>
      <c r="N429" s="12" t="str">
        <f aca="false">IF(I429&lt;=1,"0-1 days",IF(I429&lt;=7,"2-7 days",IF(I429&lt;=30,"8-30 days","&gt;30 days")))</f>
        <v>2-7 days</v>
      </c>
    </row>
    <row r="430" customFormat="false" ht="15" hidden="false" customHeight="false" outlineLevel="0" collapsed="false">
      <c r="A430" s="12" t="s">
        <v>665</v>
      </c>
      <c r="B430" s="12" t="n">
        <v>19</v>
      </c>
      <c r="C430" s="12" t="s">
        <v>43</v>
      </c>
      <c r="D430" s="12" t="s">
        <v>69</v>
      </c>
      <c r="E430" s="12" t="s">
        <v>287</v>
      </c>
      <c r="F430" s="12" t="s">
        <v>345</v>
      </c>
      <c r="G430" s="12" t="s">
        <v>53</v>
      </c>
      <c r="H430" s="12" t="s">
        <v>76</v>
      </c>
      <c r="I430" s="12" t="n">
        <v>16</v>
      </c>
      <c r="J430" s="12" t="s">
        <v>47</v>
      </c>
      <c r="K430" s="12" t="s">
        <v>48</v>
      </c>
      <c r="L430" s="12" t="str">
        <f aca="false">IF(OR(H430="Severe",H430="Life-Threatening"),"Yes","No")</f>
        <v>Yes</v>
      </c>
      <c r="M430" s="12" t="str">
        <f aca="false">IF(B430&lt;18,"0-17",IF(B430&lt;40,"18-39",IF(B430&lt;60,"40-59","60+")))</f>
        <v>18-39</v>
      </c>
      <c r="N430" s="12" t="str">
        <f aca="false">IF(I430&lt;=1,"0-1 days",IF(I430&lt;=7,"2-7 days",IF(I430&lt;=30,"8-30 days","&gt;30 days")))</f>
        <v>8-30 days</v>
      </c>
    </row>
    <row r="431" customFormat="false" ht="15" hidden="false" customHeight="false" outlineLevel="0" collapsed="false">
      <c r="A431" s="12" t="s">
        <v>666</v>
      </c>
      <c r="B431" s="12" t="n">
        <v>30</v>
      </c>
      <c r="C431" s="12" t="s">
        <v>34</v>
      </c>
      <c r="D431" s="12" t="s">
        <v>196</v>
      </c>
      <c r="E431" s="12" t="s">
        <v>36</v>
      </c>
      <c r="F431" s="12" t="s">
        <v>364</v>
      </c>
      <c r="G431" s="12" t="s">
        <v>38</v>
      </c>
      <c r="H431" s="12" t="s">
        <v>39</v>
      </c>
      <c r="I431" s="12" t="n">
        <v>16</v>
      </c>
      <c r="J431" s="12" t="s">
        <v>40</v>
      </c>
      <c r="K431" s="12" t="s">
        <v>48</v>
      </c>
      <c r="L431" s="12" t="str">
        <f aca="false">IF(OR(H431="Severe",H431="Life-Threatening"),"Yes","No")</f>
        <v>No</v>
      </c>
      <c r="M431" s="12" t="str">
        <f aca="false">IF(B431&lt;18,"0-17",IF(B431&lt;40,"18-39",IF(B431&lt;60,"40-59","60+")))</f>
        <v>18-39</v>
      </c>
      <c r="N431" s="12" t="str">
        <f aca="false">IF(I431&lt;=1,"0-1 days",IF(I431&lt;=7,"2-7 days",IF(I431&lt;=30,"8-30 days","&gt;30 days")))</f>
        <v>8-30 days</v>
      </c>
    </row>
    <row r="432" customFormat="false" ht="15" hidden="false" customHeight="false" outlineLevel="0" collapsed="false">
      <c r="A432" s="12" t="s">
        <v>667</v>
      </c>
      <c r="B432" s="12" t="n">
        <v>68</v>
      </c>
      <c r="C432" s="12" t="s">
        <v>43</v>
      </c>
      <c r="D432" s="12" t="s">
        <v>668</v>
      </c>
      <c r="E432" s="12" t="s">
        <v>412</v>
      </c>
      <c r="F432" s="12" t="s">
        <v>139</v>
      </c>
      <c r="G432" s="12" t="s">
        <v>38</v>
      </c>
      <c r="H432" s="12" t="s">
        <v>39</v>
      </c>
      <c r="I432" s="12" t="n">
        <v>4</v>
      </c>
      <c r="J432" s="12" t="s">
        <v>67</v>
      </c>
      <c r="K432" s="12" t="s">
        <v>48</v>
      </c>
      <c r="L432" s="12" t="str">
        <f aca="false">IF(OR(H432="Severe",H432="Life-Threatening"),"Yes","No")</f>
        <v>No</v>
      </c>
      <c r="M432" s="12" t="str">
        <f aca="false">IF(B432&lt;18,"0-17",IF(B432&lt;40,"18-39",IF(B432&lt;60,"40-59","60+")))</f>
        <v>60+</v>
      </c>
      <c r="N432" s="12" t="str">
        <f aca="false">IF(I432&lt;=1,"0-1 days",IF(I432&lt;=7,"2-7 days",IF(I432&lt;=30,"8-30 days","&gt;30 days")))</f>
        <v>2-7 days</v>
      </c>
    </row>
    <row r="433" customFormat="false" ht="15" hidden="false" customHeight="false" outlineLevel="0" collapsed="false">
      <c r="A433" s="12" t="s">
        <v>669</v>
      </c>
      <c r="B433" s="12" t="n">
        <v>55</v>
      </c>
      <c r="C433" s="12" t="s">
        <v>43</v>
      </c>
      <c r="D433" s="12" t="s">
        <v>35</v>
      </c>
      <c r="E433" s="12" t="s">
        <v>307</v>
      </c>
      <c r="F433" s="12" t="s">
        <v>62</v>
      </c>
      <c r="G433" s="12" t="s">
        <v>53</v>
      </c>
      <c r="H433" s="12" t="s">
        <v>39</v>
      </c>
      <c r="I433" s="12" t="n">
        <v>28</v>
      </c>
      <c r="J433" s="12" t="s">
        <v>169</v>
      </c>
      <c r="K433" s="12" t="s">
        <v>63</v>
      </c>
      <c r="L433" s="12" t="str">
        <f aca="false">IF(OR(H433="Severe",H433="Life-Threatening"),"Yes","No")</f>
        <v>No</v>
      </c>
      <c r="M433" s="12" t="str">
        <f aca="false">IF(B433&lt;18,"0-17",IF(B433&lt;40,"18-39",IF(B433&lt;60,"40-59","60+")))</f>
        <v>40-59</v>
      </c>
      <c r="N433" s="12" t="str">
        <f aca="false">IF(I433&lt;=1,"0-1 days",IF(I433&lt;=7,"2-7 days",IF(I433&lt;=30,"8-30 days","&gt;30 days")))</f>
        <v>8-30 days</v>
      </c>
    </row>
    <row r="434" customFormat="false" ht="15" hidden="false" customHeight="false" outlineLevel="0" collapsed="false">
      <c r="A434" s="12" t="s">
        <v>670</v>
      </c>
      <c r="B434" s="12" t="n">
        <v>40</v>
      </c>
      <c r="C434" s="12" t="s">
        <v>34</v>
      </c>
      <c r="D434" s="12" t="s">
        <v>168</v>
      </c>
      <c r="E434" s="12" t="s">
        <v>656</v>
      </c>
      <c r="F434" s="12" t="s">
        <v>435</v>
      </c>
      <c r="G434" s="12" t="s">
        <v>146</v>
      </c>
      <c r="H434" s="12" t="s">
        <v>76</v>
      </c>
      <c r="I434" s="12" t="n">
        <v>20</v>
      </c>
      <c r="J434" s="12" t="s">
        <v>40</v>
      </c>
      <c r="K434" s="12" t="s">
        <v>63</v>
      </c>
      <c r="L434" s="12" t="str">
        <f aca="false">IF(OR(H434="Severe",H434="Life-Threatening"),"Yes","No")</f>
        <v>Yes</v>
      </c>
      <c r="M434" s="12" t="str">
        <f aca="false">IF(B434&lt;18,"0-17",IF(B434&lt;40,"18-39",IF(B434&lt;60,"40-59","60+")))</f>
        <v>40-59</v>
      </c>
      <c r="N434" s="12" t="str">
        <f aca="false">IF(I434&lt;=1,"0-1 days",IF(I434&lt;=7,"2-7 days",IF(I434&lt;=30,"8-30 days","&gt;30 days")))</f>
        <v>8-30 days</v>
      </c>
    </row>
    <row r="435" customFormat="false" ht="15" hidden="false" customHeight="false" outlineLevel="0" collapsed="false">
      <c r="A435" s="12" t="s">
        <v>671</v>
      </c>
      <c r="B435" s="12" t="n">
        <v>62</v>
      </c>
      <c r="C435" s="12" t="s">
        <v>43</v>
      </c>
      <c r="D435" s="12" t="s">
        <v>55</v>
      </c>
      <c r="E435" s="12" t="s">
        <v>110</v>
      </c>
      <c r="F435" s="12" t="s">
        <v>71</v>
      </c>
      <c r="G435" s="12" t="s">
        <v>72</v>
      </c>
      <c r="H435" s="12" t="s">
        <v>59</v>
      </c>
      <c r="I435" s="12" t="n">
        <v>0</v>
      </c>
      <c r="J435" s="12" t="s">
        <v>47</v>
      </c>
      <c r="K435" s="12" t="s">
        <v>63</v>
      </c>
      <c r="L435" s="12" t="str">
        <f aca="false">IF(OR(H435="Severe",H435="Life-Threatening"),"Yes","No")</f>
        <v>Yes</v>
      </c>
      <c r="M435" s="12" t="str">
        <f aca="false">IF(B435&lt;18,"0-17",IF(B435&lt;40,"18-39",IF(B435&lt;60,"40-59","60+")))</f>
        <v>60+</v>
      </c>
      <c r="N435" s="12" t="str">
        <f aca="false">IF(I435&lt;=1,"0-1 days",IF(I435&lt;=7,"2-7 days",IF(I435&lt;=30,"8-30 days","&gt;30 days")))</f>
        <v>0-1 days</v>
      </c>
    </row>
    <row r="436" customFormat="false" ht="15" hidden="false" customHeight="false" outlineLevel="0" collapsed="false">
      <c r="A436" s="12" t="s">
        <v>672</v>
      </c>
      <c r="B436" s="12" t="n">
        <v>67</v>
      </c>
      <c r="C436" s="12" t="s">
        <v>43</v>
      </c>
      <c r="D436" s="12" t="s">
        <v>668</v>
      </c>
      <c r="E436" s="12" t="s">
        <v>227</v>
      </c>
      <c r="F436" s="12" t="s">
        <v>264</v>
      </c>
      <c r="G436" s="12" t="s">
        <v>104</v>
      </c>
      <c r="H436" s="12" t="s">
        <v>39</v>
      </c>
      <c r="I436" s="12" t="n">
        <v>38</v>
      </c>
      <c r="J436" s="12" t="s">
        <v>67</v>
      </c>
      <c r="K436" s="12" t="s">
        <v>63</v>
      </c>
      <c r="L436" s="12" t="str">
        <f aca="false">IF(OR(H436="Severe",H436="Life-Threatening"),"Yes","No")</f>
        <v>No</v>
      </c>
      <c r="M436" s="12" t="str">
        <f aca="false">IF(B436&lt;18,"0-17",IF(B436&lt;40,"18-39",IF(B436&lt;60,"40-59","60+")))</f>
        <v>60+</v>
      </c>
      <c r="N436" s="12" t="str">
        <f aca="false">IF(I436&lt;=1,"0-1 days",IF(I436&lt;=7,"2-7 days",IF(I436&lt;=30,"8-30 days","&gt;30 days")))</f>
        <v>&gt;30 days</v>
      </c>
    </row>
    <row r="437" customFormat="false" ht="15" hidden="false" customHeight="false" outlineLevel="0" collapsed="false">
      <c r="A437" s="12" t="s">
        <v>673</v>
      </c>
      <c r="B437" s="12" t="n">
        <v>47</v>
      </c>
      <c r="C437" s="12" t="s">
        <v>43</v>
      </c>
      <c r="D437" s="12" t="s">
        <v>55</v>
      </c>
      <c r="E437" s="12" t="s">
        <v>204</v>
      </c>
      <c r="F437" s="12" t="s">
        <v>45</v>
      </c>
      <c r="G437" s="12" t="s">
        <v>38</v>
      </c>
      <c r="H437" s="12" t="s">
        <v>39</v>
      </c>
      <c r="I437" s="12" t="n">
        <v>5</v>
      </c>
      <c r="J437" s="12" t="s">
        <v>40</v>
      </c>
      <c r="K437" s="12" t="s">
        <v>147</v>
      </c>
      <c r="L437" s="12" t="str">
        <f aca="false">IF(OR(H437="Severe",H437="Life-Threatening"),"Yes","No")</f>
        <v>No</v>
      </c>
      <c r="M437" s="12" t="str">
        <f aca="false">IF(B437&lt;18,"0-17",IF(B437&lt;40,"18-39",IF(B437&lt;60,"40-59","60+")))</f>
        <v>40-59</v>
      </c>
      <c r="N437" s="12" t="str">
        <f aca="false">IF(I437&lt;=1,"0-1 days",IF(I437&lt;=7,"2-7 days",IF(I437&lt;=30,"8-30 days","&gt;30 days")))</f>
        <v>2-7 days</v>
      </c>
    </row>
    <row r="438" customFormat="false" ht="15" hidden="false" customHeight="false" outlineLevel="0" collapsed="false">
      <c r="A438" s="12" t="s">
        <v>674</v>
      </c>
      <c r="B438" s="12" t="n">
        <v>60</v>
      </c>
      <c r="C438" s="12" t="s">
        <v>34</v>
      </c>
      <c r="D438" s="12" t="s">
        <v>117</v>
      </c>
      <c r="E438" s="12" t="s">
        <v>398</v>
      </c>
      <c r="F438" s="12" t="s">
        <v>364</v>
      </c>
      <c r="G438" s="12" t="s">
        <v>38</v>
      </c>
      <c r="H438" s="12" t="s">
        <v>39</v>
      </c>
      <c r="I438" s="12" t="n">
        <v>7</v>
      </c>
      <c r="J438" s="12" t="s">
        <v>40</v>
      </c>
      <c r="K438" s="12" t="s">
        <v>48</v>
      </c>
      <c r="L438" s="12" t="str">
        <f aca="false">IF(OR(H438="Severe",H438="Life-Threatening"),"Yes","No")</f>
        <v>No</v>
      </c>
      <c r="M438" s="12" t="str">
        <f aca="false">IF(B438&lt;18,"0-17",IF(B438&lt;40,"18-39",IF(B438&lt;60,"40-59","60+")))</f>
        <v>60+</v>
      </c>
      <c r="N438" s="12" t="str">
        <f aca="false">IF(I438&lt;=1,"0-1 days",IF(I438&lt;=7,"2-7 days",IF(I438&lt;=30,"8-30 days","&gt;30 days")))</f>
        <v>2-7 days</v>
      </c>
    </row>
    <row r="439" customFormat="false" ht="15" hidden="false" customHeight="false" outlineLevel="0" collapsed="false">
      <c r="A439" s="12" t="s">
        <v>675</v>
      </c>
      <c r="B439" s="12" t="n">
        <v>24</v>
      </c>
      <c r="C439" s="12" t="s">
        <v>43</v>
      </c>
      <c r="D439" s="12" t="s">
        <v>234</v>
      </c>
      <c r="E439" s="12" t="s">
        <v>127</v>
      </c>
      <c r="F439" s="12" t="s">
        <v>325</v>
      </c>
      <c r="G439" s="12" t="s">
        <v>177</v>
      </c>
      <c r="H439" s="12" t="s">
        <v>76</v>
      </c>
      <c r="I439" s="12" t="n">
        <v>30</v>
      </c>
      <c r="J439" s="12" t="s">
        <v>40</v>
      </c>
      <c r="K439" s="12" t="s">
        <v>41</v>
      </c>
      <c r="L439" s="12" t="str">
        <f aca="false">IF(OR(H439="Severe",H439="Life-Threatening"),"Yes","No")</f>
        <v>Yes</v>
      </c>
      <c r="M439" s="12" t="str">
        <f aca="false">IF(B439&lt;18,"0-17",IF(B439&lt;40,"18-39",IF(B439&lt;60,"40-59","60+")))</f>
        <v>18-39</v>
      </c>
      <c r="N439" s="12" t="str">
        <f aca="false">IF(I439&lt;=1,"0-1 days",IF(I439&lt;=7,"2-7 days",IF(I439&lt;=30,"8-30 days","&gt;30 days")))</f>
        <v>8-30 days</v>
      </c>
    </row>
    <row r="440" customFormat="false" ht="15" hidden="false" customHeight="false" outlineLevel="0" collapsed="false">
      <c r="A440" s="12" t="s">
        <v>676</v>
      </c>
      <c r="B440" s="12" t="n">
        <v>45</v>
      </c>
      <c r="C440" s="12" t="s">
        <v>34</v>
      </c>
      <c r="D440" s="12" t="s">
        <v>82</v>
      </c>
      <c r="E440" s="12" t="s">
        <v>307</v>
      </c>
      <c r="F440" s="12" t="s">
        <v>249</v>
      </c>
      <c r="G440" s="12" t="s">
        <v>152</v>
      </c>
      <c r="H440" s="12" t="s">
        <v>39</v>
      </c>
      <c r="I440" s="12" t="n">
        <v>19</v>
      </c>
      <c r="J440" s="12" t="s">
        <v>40</v>
      </c>
      <c r="K440" s="12" t="s">
        <v>63</v>
      </c>
      <c r="L440" s="12" t="str">
        <f aca="false">IF(OR(H440="Severe",H440="Life-Threatening"),"Yes","No")</f>
        <v>No</v>
      </c>
      <c r="M440" s="12" t="str">
        <f aca="false">IF(B440&lt;18,"0-17",IF(B440&lt;40,"18-39",IF(B440&lt;60,"40-59","60+")))</f>
        <v>40-59</v>
      </c>
      <c r="N440" s="12" t="str">
        <f aca="false">IF(I440&lt;=1,"0-1 days",IF(I440&lt;=7,"2-7 days",IF(I440&lt;=30,"8-30 days","&gt;30 days")))</f>
        <v>8-30 days</v>
      </c>
    </row>
    <row r="441" customFormat="false" ht="15" hidden="false" customHeight="false" outlineLevel="0" collapsed="false">
      <c r="A441" s="12" t="s">
        <v>677</v>
      </c>
      <c r="B441" s="12" t="n">
        <v>80</v>
      </c>
      <c r="C441" s="12" t="s">
        <v>34</v>
      </c>
      <c r="D441" s="12" t="s">
        <v>55</v>
      </c>
      <c r="E441" s="12" t="s">
        <v>243</v>
      </c>
      <c r="F441" s="12" t="s">
        <v>348</v>
      </c>
      <c r="G441" s="12" t="s">
        <v>94</v>
      </c>
      <c r="H441" s="12" t="s">
        <v>76</v>
      </c>
      <c r="I441" s="12" t="n">
        <v>26</v>
      </c>
      <c r="J441" s="12" t="s">
        <v>47</v>
      </c>
      <c r="K441" s="12" t="s">
        <v>48</v>
      </c>
      <c r="L441" s="12" t="str">
        <f aca="false">IF(OR(H441="Severe",H441="Life-Threatening"),"Yes","No")</f>
        <v>Yes</v>
      </c>
      <c r="M441" s="12" t="str">
        <f aca="false">IF(B441&lt;18,"0-17",IF(B441&lt;40,"18-39",IF(B441&lt;60,"40-59","60+")))</f>
        <v>60+</v>
      </c>
      <c r="N441" s="12" t="str">
        <f aca="false">IF(I441&lt;=1,"0-1 days",IF(I441&lt;=7,"2-7 days",IF(I441&lt;=30,"8-30 days","&gt;30 days")))</f>
        <v>8-30 days</v>
      </c>
    </row>
    <row r="442" customFormat="false" ht="15" hidden="false" customHeight="false" outlineLevel="0" collapsed="false">
      <c r="A442" s="12" t="s">
        <v>678</v>
      </c>
      <c r="B442" s="12" t="n">
        <v>30</v>
      </c>
      <c r="C442" s="12" t="s">
        <v>34</v>
      </c>
      <c r="D442" s="12" t="s">
        <v>155</v>
      </c>
      <c r="E442" s="12" t="s">
        <v>280</v>
      </c>
      <c r="F442" s="12" t="s">
        <v>45</v>
      </c>
      <c r="G442" s="12" t="s">
        <v>38</v>
      </c>
      <c r="H442" s="12" t="s">
        <v>46</v>
      </c>
      <c r="I442" s="12" t="n">
        <v>23</v>
      </c>
      <c r="J442" s="12" t="s">
        <v>47</v>
      </c>
      <c r="K442" s="12" t="s">
        <v>48</v>
      </c>
      <c r="L442" s="12" t="str">
        <f aca="false">IF(OR(H442="Severe",H442="Life-Threatening"),"Yes","No")</f>
        <v>No</v>
      </c>
      <c r="M442" s="12" t="str">
        <f aca="false">IF(B442&lt;18,"0-17",IF(B442&lt;40,"18-39",IF(B442&lt;60,"40-59","60+")))</f>
        <v>18-39</v>
      </c>
      <c r="N442" s="12" t="str">
        <f aca="false">IF(I442&lt;=1,"0-1 days",IF(I442&lt;=7,"2-7 days",IF(I442&lt;=30,"8-30 days","&gt;30 days")))</f>
        <v>8-30 days</v>
      </c>
    </row>
    <row r="443" customFormat="false" ht="15" hidden="false" customHeight="false" outlineLevel="0" collapsed="false">
      <c r="A443" s="12" t="s">
        <v>679</v>
      </c>
      <c r="B443" s="12" t="n">
        <v>30</v>
      </c>
      <c r="C443" s="12" t="s">
        <v>34</v>
      </c>
      <c r="D443" s="12" t="s">
        <v>50</v>
      </c>
      <c r="E443" s="12" t="s">
        <v>150</v>
      </c>
      <c r="F443" s="12" t="s">
        <v>221</v>
      </c>
      <c r="G443" s="12" t="s">
        <v>94</v>
      </c>
      <c r="H443" s="12" t="s">
        <v>76</v>
      </c>
      <c r="I443" s="12" t="n">
        <v>1</v>
      </c>
      <c r="J443" s="12" t="s">
        <v>67</v>
      </c>
      <c r="K443" s="12" t="s">
        <v>63</v>
      </c>
      <c r="L443" s="12" t="str">
        <f aca="false">IF(OR(H443="Severe",H443="Life-Threatening"),"Yes","No")</f>
        <v>Yes</v>
      </c>
      <c r="M443" s="12" t="str">
        <f aca="false">IF(B443&lt;18,"0-17",IF(B443&lt;40,"18-39",IF(B443&lt;60,"40-59","60+")))</f>
        <v>18-39</v>
      </c>
      <c r="N443" s="12" t="str">
        <f aca="false">IF(I443&lt;=1,"0-1 days",IF(I443&lt;=7,"2-7 days",IF(I443&lt;=30,"8-30 days","&gt;30 days")))</f>
        <v>0-1 days</v>
      </c>
    </row>
    <row r="444" customFormat="false" ht="15" hidden="false" customHeight="false" outlineLevel="0" collapsed="false">
      <c r="A444" s="12" t="s">
        <v>680</v>
      </c>
      <c r="B444" s="12" t="n">
        <v>58</v>
      </c>
      <c r="C444" s="12" t="s">
        <v>34</v>
      </c>
      <c r="D444" s="12" t="s">
        <v>126</v>
      </c>
      <c r="E444" s="12" t="s">
        <v>191</v>
      </c>
      <c r="F444" s="12" t="s">
        <v>45</v>
      </c>
      <c r="G444" s="12" t="s">
        <v>38</v>
      </c>
      <c r="H444" s="12" t="s">
        <v>39</v>
      </c>
      <c r="I444" s="12" t="n">
        <v>30</v>
      </c>
      <c r="J444" s="12" t="s">
        <v>47</v>
      </c>
      <c r="K444" s="12" t="s">
        <v>63</v>
      </c>
      <c r="L444" s="12" t="str">
        <f aca="false">IF(OR(H444="Severe",H444="Life-Threatening"),"Yes","No")</f>
        <v>No</v>
      </c>
      <c r="M444" s="12" t="str">
        <f aca="false">IF(B444&lt;18,"0-17",IF(B444&lt;40,"18-39",IF(B444&lt;60,"40-59","60+")))</f>
        <v>40-59</v>
      </c>
      <c r="N444" s="12" t="str">
        <f aca="false">IF(I444&lt;=1,"0-1 days",IF(I444&lt;=7,"2-7 days",IF(I444&lt;=30,"8-30 days","&gt;30 days")))</f>
        <v>8-30 days</v>
      </c>
    </row>
    <row r="445" customFormat="false" ht="15" hidden="false" customHeight="false" outlineLevel="0" collapsed="false">
      <c r="A445" s="12" t="s">
        <v>681</v>
      </c>
      <c r="B445" s="12" t="n">
        <v>42</v>
      </c>
      <c r="C445" s="12" t="s">
        <v>43</v>
      </c>
      <c r="D445" s="12" t="s">
        <v>194</v>
      </c>
      <c r="E445" s="12" t="s">
        <v>216</v>
      </c>
      <c r="F445" s="12" t="s">
        <v>357</v>
      </c>
      <c r="G445" s="12" t="s">
        <v>72</v>
      </c>
      <c r="H445" s="12" t="s">
        <v>39</v>
      </c>
      <c r="I445" s="12" t="n">
        <v>25</v>
      </c>
      <c r="J445" s="12" t="s">
        <v>40</v>
      </c>
      <c r="K445" s="12" t="s">
        <v>63</v>
      </c>
      <c r="L445" s="12" t="str">
        <f aca="false">IF(OR(H445="Severe",H445="Life-Threatening"),"Yes","No")</f>
        <v>No</v>
      </c>
      <c r="M445" s="12" t="str">
        <f aca="false">IF(B445&lt;18,"0-17",IF(B445&lt;40,"18-39",IF(B445&lt;60,"40-59","60+")))</f>
        <v>40-59</v>
      </c>
      <c r="N445" s="12" t="str">
        <f aca="false">IF(I445&lt;=1,"0-1 days",IF(I445&lt;=7,"2-7 days",IF(I445&lt;=30,"8-30 days","&gt;30 days")))</f>
        <v>8-30 days</v>
      </c>
    </row>
    <row r="446" customFormat="false" ht="15" hidden="false" customHeight="false" outlineLevel="0" collapsed="false">
      <c r="A446" s="12" t="s">
        <v>682</v>
      </c>
      <c r="B446" s="12" t="n">
        <v>61</v>
      </c>
      <c r="C446" s="12" t="s">
        <v>43</v>
      </c>
      <c r="D446" s="12" t="s">
        <v>35</v>
      </c>
      <c r="E446" s="12" t="s">
        <v>74</v>
      </c>
      <c r="F446" s="12" t="s">
        <v>214</v>
      </c>
      <c r="G446" s="12" t="s">
        <v>115</v>
      </c>
      <c r="H446" s="12" t="s">
        <v>39</v>
      </c>
      <c r="I446" s="12" t="n">
        <v>2</v>
      </c>
      <c r="J446" s="12" t="s">
        <v>40</v>
      </c>
      <c r="K446" s="12" t="s">
        <v>48</v>
      </c>
      <c r="L446" s="12" t="str">
        <f aca="false">IF(OR(H446="Severe",H446="Life-Threatening"),"Yes","No")</f>
        <v>No</v>
      </c>
      <c r="M446" s="12" t="str">
        <f aca="false">IF(B446&lt;18,"0-17",IF(B446&lt;40,"18-39",IF(B446&lt;60,"40-59","60+")))</f>
        <v>60+</v>
      </c>
      <c r="N446" s="12" t="str">
        <f aca="false">IF(I446&lt;=1,"0-1 days",IF(I446&lt;=7,"2-7 days",IF(I446&lt;=30,"8-30 days","&gt;30 days")))</f>
        <v>2-7 days</v>
      </c>
    </row>
    <row r="447" customFormat="false" ht="15" hidden="false" customHeight="false" outlineLevel="0" collapsed="false">
      <c r="A447" s="12" t="s">
        <v>683</v>
      </c>
      <c r="B447" s="12" t="n">
        <v>48</v>
      </c>
      <c r="C447" s="12" t="s">
        <v>43</v>
      </c>
      <c r="D447" s="12" t="s">
        <v>102</v>
      </c>
      <c r="E447" s="12" t="s">
        <v>304</v>
      </c>
      <c r="F447" s="12" t="s">
        <v>165</v>
      </c>
      <c r="G447" s="12" t="s">
        <v>53</v>
      </c>
      <c r="H447" s="12" t="s">
        <v>46</v>
      </c>
      <c r="I447" s="12" t="n">
        <v>20</v>
      </c>
      <c r="J447" s="12" t="s">
        <v>40</v>
      </c>
      <c r="K447" s="12" t="s">
        <v>63</v>
      </c>
      <c r="L447" s="12" t="str">
        <f aca="false">IF(OR(H447="Severe",H447="Life-Threatening"),"Yes","No")</f>
        <v>No</v>
      </c>
      <c r="M447" s="12" t="str">
        <f aca="false">IF(B447&lt;18,"0-17",IF(B447&lt;40,"18-39",IF(B447&lt;60,"40-59","60+")))</f>
        <v>40-59</v>
      </c>
      <c r="N447" s="12" t="str">
        <f aca="false">IF(I447&lt;=1,"0-1 days",IF(I447&lt;=7,"2-7 days",IF(I447&lt;=30,"8-30 days","&gt;30 days")))</f>
        <v>8-30 days</v>
      </c>
    </row>
    <row r="448" customFormat="false" ht="15" hidden="false" customHeight="false" outlineLevel="0" collapsed="false">
      <c r="A448" s="12" t="s">
        <v>684</v>
      </c>
      <c r="B448" s="12" t="n">
        <v>67</v>
      </c>
      <c r="C448" s="12" t="s">
        <v>34</v>
      </c>
      <c r="D448" s="12" t="s">
        <v>155</v>
      </c>
      <c r="E448" s="12" t="s">
        <v>315</v>
      </c>
      <c r="F448" s="12" t="s">
        <v>62</v>
      </c>
      <c r="G448" s="12" t="s">
        <v>53</v>
      </c>
      <c r="H448" s="12" t="s">
        <v>46</v>
      </c>
      <c r="I448" s="12" t="n">
        <v>21</v>
      </c>
      <c r="J448" s="12" t="s">
        <v>47</v>
      </c>
      <c r="K448" s="12" t="s">
        <v>63</v>
      </c>
      <c r="L448" s="12" t="str">
        <f aca="false">IF(OR(H448="Severe",H448="Life-Threatening"),"Yes","No")</f>
        <v>No</v>
      </c>
      <c r="M448" s="12" t="str">
        <f aca="false">IF(B448&lt;18,"0-17",IF(B448&lt;40,"18-39",IF(B448&lt;60,"40-59","60+")))</f>
        <v>60+</v>
      </c>
      <c r="N448" s="12" t="str">
        <f aca="false">IF(I448&lt;=1,"0-1 days",IF(I448&lt;=7,"2-7 days",IF(I448&lt;=30,"8-30 days","&gt;30 days")))</f>
        <v>8-30 days</v>
      </c>
    </row>
    <row r="449" customFormat="false" ht="15" hidden="false" customHeight="false" outlineLevel="0" collapsed="false">
      <c r="A449" s="12" t="s">
        <v>685</v>
      </c>
      <c r="B449" s="12" t="n">
        <v>95</v>
      </c>
      <c r="C449" s="12" t="s">
        <v>34</v>
      </c>
      <c r="D449" s="12" t="s">
        <v>327</v>
      </c>
      <c r="E449" s="12" t="s">
        <v>227</v>
      </c>
      <c r="F449" s="12" t="s">
        <v>214</v>
      </c>
      <c r="G449" s="12" t="s">
        <v>115</v>
      </c>
      <c r="H449" s="12" t="s">
        <v>46</v>
      </c>
      <c r="I449" s="12" t="n">
        <v>24</v>
      </c>
      <c r="J449" s="12" t="s">
        <v>47</v>
      </c>
      <c r="K449" s="12" t="s">
        <v>48</v>
      </c>
      <c r="L449" s="12" t="str">
        <f aca="false">IF(OR(H449="Severe",H449="Life-Threatening"),"Yes","No")</f>
        <v>No</v>
      </c>
      <c r="M449" s="12" t="str">
        <f aca="false">IF(B449&lt;18,"0-17",IF(B449&lt;40,"18-39",IF(B449&lt;60,"40-59","60+")))</f>
        <v>60+</v>
      </c>
      <c r="N449" s="12" t="str">
        <f aca="false">IF(I449&lt;=1,"0-1 days",IF(I449&lt;=7,"2-7 days",IF(I449&lt;=30,"8-30 days","&gt;30 days")))</f>
        <v>8-30 days</v>
      </c>
    </row>
    <row r="450" customFormat="false" ht="15" hidden="false" customHeight="false" outlineLevel="0" collapsed="false">
      <c r="A450" s="12" t="s">
        <v>686</v>
      </c>
      <c r="B450" s="12" t="n">
        <v>50</v>
      </c>
      <c r="C450" s="12" t="s">
        <v>34</v>
      </c>
      <c r="D450" s="12" t="s">
        <v>194</v>
      </c>
      <c r="E450" s="12" t="s">
        <v>200</v>
      </c>
      <c r="F450" s="12" t="s">
        <v>79</v>
      </c>
      <c r="G450" s="12" t="s">
        <v>80</v>
      </c>
      <c r="H450" s="12" t="s">
        <v>46</v>
      </c>
      <c r="I450" s="12" t="n">
        <v>17</v>
      </c>
      <c r="J450" s="12" t="s">
        <v>40</v>
      </c>
      <c r="K450" s="12" t="s">
        <v>41</v>
      </c>
      <c r="L450" s="12" t="str">
        <f aca="false">IF(OR(H450="Severe",H450="Life-Threatening"),"Yes","No")</f>
        <v>No</v>
      </c>
      <c r="M450" s="12" t="str">
        <f aca="false">IF(B450&lt;18,"0-17",IF(B450&lt;40,"18-39",IF(B450&lt;60,"40-59","60+")))</f>
        <v>40-59</v>
      </c>
      <c r="N450" s="12" t="str">
        <f aca="false">IF(I450&lt;=1,"0-1 days",IF(I450&lt;=7,"2-7 days",IF(I450&lt;=30,"8-30 days","&gt;30 days")))</f>
        <v>8-30 days</v>
      </c>
    </row>
    <row r="451" customFormat="false" ht="15" hidden="false" customHeight="false" outlineLevel="0" collapsed="false">
      <c r="A451" s="12" t="s">
        <v>687</v>
      </c>
      <c r="B451" s="12" t="n">
        <v>56</v>
      </c>
      <c r="C451" s="12" t="s">
        <v>34</v>
      </c>
      <c r="D451" s="12" t="s">
        <v>144</v>
      </c>
      <c r="E451" s="12" t="s">
        <v>138</v>
      </c>
      <c r="F451" s="12" t="s">
        <v>139</v>
      </c>
      <c r="G451" s="12" t="s">
        <v>38</v>
      </c>
      <c r="H451" s="12" t="s">
        <v>76</v>
      </c>
      <c r="I451" s="12" t="n">
        <v>12</v>
      </c>
      <c r="J451" s="12" t="s">
        <v>40</v>
      </c>
      <c r="K451" s="12" t="s">
        <v>48</v>
      </c>
      <c r="L451" s="12" t="str">
        <f aca="false">IF(OR(H451="Severe",H451="Life-Threatening"),"Yes","No")</f>
        <v>Yes</v>
      </c>
      <c r="M451" s="12" t="str">
        <f aca="false">IF(B451&lt;18,"0-17",IF(B451&lt;40,"18-39",IF(B451&lt;60,"40-59","60+")))</f>
        <v>40-59</v>
      </c>
      <c r="N451" s="12" t="str">
        <f aca="false">IF(I451&lt;=1,"0-1 days",IF(I451&lt;=7,"2-7 days",IF(I451&lt;=30,"8-30 days","&gt;30 days")))</f>
        <v>8-30 days</v>
      </c>
    </row>
    <row r="452" customFormat="false" ht="15" hidden="false" customHeight="false" outlineLevel="0" collapsed="false">
      <c r="A452" s="12" t="s">
        <v>688</v>
      </c>
      <c r="B452" s="12" t="n">
        <v>29</v>
      </c>
      <c r="C452" s="12" t="s">
        <v>34</v>
      </c>
      <c r="D452" s="12" t="s">
        <v>55</v>
      </c>
      <c r="E452" s="12" t="s">
        <v>256</v>
      </c>
      <c r="F452" s="12" t="s">
        <v>165</v>
      </c>
      <c r="G452" s="12" t="s">
        <v>53</v>
      </c>
      <c r="H452" s="12" t="s">
        <v>46</v>
      </c>
      <c r="I452" s="12" t="n">
        <v>5</v>
      </c>
      <c r="J452" s="12" t="s">
        <v>40</v>
      </c>
      <c r="K452" s="12" t="s">
        <v>147</v>
      </c>
      <c r="L452" s="12" t="str">
        <f aca="false">IF(OR(H452="Severe",H452="Life-Threatening"),"Yes","No")</f>
        <v>No</v>
      </c>
      <c r="M452" s="12" t="str">
        <f aca="false">IF(B452&lt;18,"0-17",IF(B452&lt;40,"18-39",IF(B452&lt;60,"40-59","60+")))</f>
        <v>18-39</v>
      </c>
      <c r="N452" s="12" t="str">
        <f aca="false">IF(I452&lt;=1,"0-1 days",IF(I452&lt;=7,"2-7 days",IF(I452&lt;=30,"8-30 days","&gt;30 days")))</f>
        <v>2-7 days</v>
      </c>
    </row>
    <row r="453" customFormat="false" ht="15" hidden="false" customHeight="false" outlineLevel="0" collapsed="false">
      <c r="A453" s="12" t="s">
        <v>689</v>
      </c>
      <c r="B453" s="12" t="n">
        <v>31</v>
      </c>
      <c r="C453" s="12" t="s">
        <v>34</v>
      </c>
      <c r="D453" s="12" t="s">
        <v>69</v>
      </c>
      <c r="E453" s="12" t="s">
        <v>200</v>
      </c>
      <c r="F453" s="12" t="s">
        <v>79</v>
      </c>
      <c r="G453" s="12" t="s">
        <v>80</v>
      </c>
      <c r="H453" s="12" t="s">
        <v>46</v>
      </c>
      <c r="I453" s="12" t="n">
        <v>15</v>
      </c>
      <c r="J453" s="12" t="s">
        <v>40</v>
      </c>
      <c r="K453" s="12" t="s">
        <v>63</v>
      </c>
      <c r="L453" s="12" t="str">
        <f aca="false">IF(OR(H453="Severe",H453="Life-Threatening"),"Yes","No")</f>
        <v>No</v>
      </c>
      <c r="M453" s="12" t="str">
        <f aca="false">IF(B453&lt;18,"0-17",IF(B453&lt;40,"18-39",IF(B453&lt;60,"40-59","60+")))</f>
        <v>18-39</v>
      </c>
      <c r="N453" s="12" t="str">
        <f aca="false">IF(I453&lt;=1,"0-1 days",IF(I453&lt;=7,"2-7 days",IF(I453&lt;=30,"8-30 days","&gt;30 days")))</f>
        <v>8-30 days</v>
      </c>
    </row>
    <row r="454" customFormat="false" ht="15" hidden="false" customHeight="false" outlineLevel="0" collapsed="false">
      <c r="A454" s="12" t="s">
        <v>690</v>
      </c>
      <c r="B454" s="12" t="n">
        <v>56</v>
      </c>
      <c r="C454" s="12" t="s">
        <v>43</v>
      </c>
      <c r="D454" s="12" t="s">
        <v>55</v>
      </c>
      <c r="E454" s="12" t="s">
        <v>121</v>
      </c>
      <c r="F454" s="12" t="s">
        <v>45</v>
      </c>
      <c r="G454" s="12" t="s">
        <v>38</v>
      </c>
      <c r="H454" s="12" t="s">
        <v>39</v>
      </c>
      <c r="I454" s="12" t="n">
        <v>21</v>
      </c>
      <c r="J454" s="12" t="s">
        <v>40</v>
      </c>
      <c r="K454" s="12" t="s">
        <v>63</v>
      </c>
      <c r="L454" s="12" t="str">
        <f aca="false">IF(OR(H454="Severe",H454="Life-Threatening"),"Yes","No")</f>
        <v>No</v>
      </c>
      <c r="M454" s="12" t="str">
        <f aca="false">IF(B454&lt;18,"0-17",IF(B454&lt;40,"18-39",IF(B454&lt;60,"40-59","60+")))</f>
        <v>40-59</v>
      </c>
      <c r="N454" s="12" t="str">
        <f aca="false">IF(I454&lt;=1,"0-1 days",IF(I454&lt;=7,"2-7 days",IF(I454&lt;=30,"8-30 days","&gt;30 days")))</f>
        <v>8-30 days</v>
      </c>
    </row>
    <row r="455" customFormat="false" ht="15" hidden="false" customHeight="false" outlineLevel="0" collapsed="false">
      <c r="A455" s="12" t="s">
        <v>691</v>
      </c>
      <c r="B455" s="12" t="n">
        <v>62</v>
      </c>
      <c r="C455" s="12" t="s">
        <v>34</v>
      </c>
      <c r="D455" s="12" t="s">
        <v>474</v>
      </c>
      <c r="E455" s="12" t="s">
        <v>272</v>
      </c>
      <c r="F455" s="12" t="s">
        <v>214</v>
      </c>
      <c r="G455" s="12" t="s">
        <v>115</v>
      </c>
      <c r="H455" s="12" t="s">
        <v>76</v>
      </c>
      <c r="I455" s="12" t="n">
        <v>13</v>
      </c>
      <c r="J455" s="12" t="s">
        <v>40</v>
      </c>
      <c r="K455" s="12" t="s">
        <v>63</v>
      </c>
      <c r="L455" s="12" t="str">
        <f aca="false">IF(OR(H455="Severe",H455="Life-Threatening"),"Yes","No")</f>
        <v>Yes</v>
      </c>
      <c r="M455" s="12" t="str">
        <f aca="false">IF(B455&lt;18,"0-17",IF(B455&lt;40,"18-39",IF(B455&lt;60,"40-59","60+")))</f>
        <v>60+</v>
      </c>
      <c r="N455" s="12" t="str">
        <f aca="false">IF(I455&lt;=1,"0-1 days",IF(I455&lt;=7,"2-7 days",IF(I455&lt;=30,"8-30 days","&gt;30 days")))</f>
        <v>8-30 days</v>
      </c>
    </row>
    <row r="456" customFormat="false" ht="15" hidden="false" customHeight="false" outlineLevel="0" collapsed="false">
      <c r="A456" s="12" t="s">
        <v>692</v>
      </c>
      <c r="B456" s="12" t="n">
        <v>79</v>
      </c>
      <c r="C456" s="12" t="s">
        <v>34</v>
      </c>
      <c r="D456" s="12" t="s">
        <v>245</v>
      </c>
      <c r="E456" s="12" t="s">
        <v>227</v>
      </c>
      <c r="F456" s="12" t="s">
        <v>214</v>
      </c>
      <c r="G456" s="12" t="s">
        <v>115</v>
      </c>
      <c r="H456" s="12" t="s">
        <v>76</v>
      </c>
      <c r="I456" s="12" t="n">
        <v>4</v>
      </c>
      <c r="J456" s="12" t="s">
        <v>67</v>
      </c>
      <c r="K456" s="12" t="s">
        <v>48</v>
      </c>
      <c r="L456" s="12" t="str">
        <f aca="false">IF(OR(H456="Severe",H456="Life-Threatening"),"Yes","No")</f>
        <v>Yes</v>
      </c>
      <c r="M456" s="12" t="str">
        <f aca="false">IF(B456&lt;18,"0-17",IF(B456&lt;40,"18-39",IF(B456&lt;60,"40-59","60+")))</f>
        <v>60+</v>
      </c>
      <c r="N456" s="12" t="str">
        <f aca="false">IF(I456&lt;=1,"0-1 days",IF(I456&lt;=7,"2-7 days",IF(I456&lt;=30,"8-30 days","&gt;30 days")))</f>
        <v>2-7 days</v>
      </c>
    </row>
    <row r="457" customFormat="false" ht="15" hidden="false" customHeight="false" outlineLevel="0" collapsed="false">
      <c r="A457" s="12" t="s">
        <v>693</v>
      </c>
      <c r="B457" s="12" t="n">
        <v>22</v>
      </c>
      <c r="C457" s="12" t="s">
        <v>34</v>
      </c>
      <c r="D457" s="12" t="s">
        <v>155</v>
      </c>
      <c r="E457" s="12" t="s">
        <v>694</v>
      </c>
      <c r="F457" s="12" t="s">
        <v>695</v>
      </c>
      <c r="G457" s="12" t="s">
        <v>38</v>
      </c>
      <c r="H457" s="12" t="s">
        <v>76</v>
      </c>
      <c r="I457" s="12" t="n">
        <v>21</v>
      </c>
      <c r="J457" s="12" t="s">
        <v>67</v>
      </c>
      <c r="K457" s="12" t="s">
        <v>147</v>
      </c>
      <c r="L457" s="12" t="str">
        <f aca="false">IF(OR(H457="Severe",H457="Life-Threatening"),"Yes","No")</f>
        <v>Yes</v>
      </c>
      <c r="M457" s="12" t="str">
        <f aca="false">IF(B457&lt;18,"0-17",IF(B457&lt;40,"18-39",IF(B457&lt;60,"40-59","60+")))</f>
        <v>18-39</v>
      </c>
      <c r="N457" s="12" t="str">
        <f aca="false">IF(I457&lt;=1,"0-1 days",IF(I457&lt;=7,"2-7 days",IF(I457&lt;=30,"8-30 days","&gt;30 days")))</f>
        <v>8-30 days</v>
      </c>
    </row>
    <row r="458" customFormat="false" ht="15" hidden="false" customHeight="false" outlineLevel="0" collapsed="false">
      <c r="A458" s="12" t="s">
        <v>696</v>
      </c>
      <c r="B458" s="12" t="n">
        <v>25</v>
      </c>
      <c r="C458" s="12" t="s">
        <v>43</v>
      </c>
      <c r="D458" s="12" t="s">
        <v>55</v>
      </c>
      <c r="E458" s="12" t="s">
        <v>51</v>
      </c>
      <c r="F458" s="12" t="s">
        <v>52</v>
      </c>
      <c r="G458" s="12" t="s">
        <v>53</v>
      </c>
      <c r="H458" s="12" t="s">
        <v>39</v>
      </c>
      <c r="I458" s="12" t="n">
        <v>17</v>
      </c>
      <c r="J458" s="12" t="s">
        <v>67</v>
      </c>
      <c r="K458" s="12" t="s">
        <v>48</v>
      </c>
      <c r="L458" s="12" t="str">
        <f aca="false">IF(OR(H458="Severe",H458="Life-Threatening"),"Yes","No")</f>
        <v>No</v>
      </c>
      <c r="M458" s="12" t="str">
        <f aca="false">IF(B458&lt;18,"0-17",IF(B458&lt;40,"18-39",IF(B458&lt;60,"40-59","60+")))</f>
        <v>18-39</v>
      </c>
      <c r="N458" s="12" t="str">
        <f aca="false">IF(I458&lt;=1,"0-1 days",IF(I458&lt;=7,"2-7 days",IF(I458&lt;=30,"8-30 days","&gt;30 days")))</f>
        <v>8-30 days</v>
      </c>
    </row>
    <row r="459" customFormat="false" ht="15" hidden="false" customHeight="false" outlineLevel="0" collapsed="false">
      <c r="A459" s="12" t="s">
        <v>697</v>
      </c>
      <c r="B459" s="12" t="n">
        <v>28</v>
      </c>
      <c r="C459" s="12" t="s">
        <v>34</v>
      </c>
      <c r="D459" s="12" t="s">
        <v>35</v>
      </c>
      <c r="E459" s="12" t="s">
        <v>301</v>
      </c>
      <c r="F459" s="12" t="s">
        <v>302</v>
      </c>
      <c r="G459" s="12" t="s">
        <v>53</v>
      </c>
      <c r="H459" s="12" t="s">
        <v>39</v>
      </c>
      <c r="I459" s="12" t="n">
        <v>21</v>
      </c>
      <c r="J459" s="12" t="s">
        <v>40</v>
      </c>
      <c r="K459" s="12" t="s">
        <v>48</v>
      </c>
      <c r="L459" s="12" t="str">
        <f aca="false">IF(OR(H459="Severe",H459="Life-Threatening"),"Yes","No")</f>
        <v>No</v>
      </c>
      <c r="M459" s="12" t="str">
        <f aca="false">IF(B459&lt;18,"0-17",IF(B459&lt;40,"18-39",IF(B459&lt;60,"40-59","60+")))</f>
        <v>18-39</v>
      </c>
      <c r="N459" s="12" t="str">
        <f aca="false">IF(I459&lt;=1,"0-1 days",IF(I459&lt;=7,"2-7 days",IF(I459&lt;=30,"8-30 days","&gt;30 days")))</f>
        <v>8-30 days</v>
      </c>
    </row>
    <row r="460" customFormat="false" ht="15" hidden="false" customHeight="false" outlineLevel="0" collapsed="false">
      <c r="A460" s="12" t="s">
        <v>698</v>
      </c>
      <c r="B460" s="12" t="n">
        <v>24</v>
      </c>
      <c r="C460" s="12" t="s">
        <v>43</v>
      </c>
      <c r="D460" s="12" t="s">
        <v>112</v>
      </c>
      <c r="E460" s="12" t="s">
        <v>386</v>
      </c>
      <c r="F460" s="12" t="s">
        <v>114</v>
      </c>
      <c r="G460" s="12" t="s">
        <v>115</v>
      </c>
      <c r="H460" s="12" t="s">
        <v>46</v>
      </c>
      <c r="I460" s="12" t="n">
        <v>29</v>
      </c>
      <c r="J460" s="12" t="s">
        <v>40</v>
      </c>
      <c r="K460" s="12" t="s">
        <v>48</v>
      </c>
      <c r="L460" s="12" t="str">
        <f aca="false">IF(OR(H460="Severe",H460="Life-Threatening"),"Yes","No")</f>
        <v>No</v>
      </c>
      <c r="M460" s="12" t="str">
        <f aca="false">IF(B460&lt;18,"0-17",IF(B460&lt;40,"18-39",IF(B460&lt;60,"40-59","60+")))</f>
        <v>18-39</v>
      </c>
      <c r="N460" s="12" t="str">
        <f aca="false">IF(I460&lt;=1,"0-1 days",IF(I460&lt;=7,"2-7 days",IF(I460&lt;=30,"8-30 days","&gt;30 days")))</f>
        <v>8-30 days</v>
      </c>
    </row>
    <row r="461" customFormat="false" ht="15" hidden="false" customHeight="false" outlineLevel="0" collapsed="false">
      <c r="A461" s="12" t="s">
        <v>699</v>
      </c>
      <c r="B461" s="12" t="n">
        <v>24</v>
      </c>
      <c r="C461" s="12" t="s">
        <v>34</v>
      </c>
      <c r="D461" s="12" t="s">
        <v>55</v>
      </c>
      <c r="E461" s="12" t="s">
        <v>280</v>
      </c>
      <c r="F461" s="12" t="s">
        <v>45</v>
      </c>
      <c r="G461" s="12" t="s">
        <v>38</v>
      </c>
      <c r="H461" s="12" t="s">
        <v>46</v>
      </c>
      <c r="I461" s="12" t="n">
        <v>6</v>
      </c>
      <c r="J461" s="12" t="s">
        <v>40</v>
      </c>
      <c r="K461" s="12" t="s">
        <v>41</v>
      </c>
      <c r="L461" s="12" t="str">
        <f aca="false">IF(OR(H461="Severe",H461="Life-Threatening"),"Yes","No")</f>
        <v>No</v>
      </c>
      <c r="M461" s="12" t="str">
        <f aca="false">IF(B461&lt;18,"0-17",IF(B461&lt;40,"18-39",IF(B461&lt;60,"40-59","60+")))</f>
        <v>18-39</v>
      </c>
      <c r="N461" s="12" t="str">
        <f aca="false">IF(I461&lt;=1,"0-1 days",IF(I461&lt;=7,"2-7 days",IF(I461&lt;=30,"8-30 days","&gt;30 days")))</f>
        <v>2-7 days</v>
      </c>
    </row>
    <row r="462" customFormat="false" ht="15" hidden="false" customHeight="false" outlineLevel="0" collapsed="false">
      <c r="A462" s="12" t="s">
        <v>700</v>
      </c>
      <c r="B462" s="12" t="n">
        <v>32</v>
      </c>
      <c r="C462" s="12" t="s">
        <v>43</v>
      </c>
      <c r="D462" s="12" t="s">
        <v>123</v>
      </c>
      <c r="E462" s="12" t="s">
        <v>216</v>
      </c>
      <c r="F462" s="12" t="s">
        <v>357</v>
      </c>
      <c r="G462" s="12" t="s">
        <v>72</v>
      </c>
      <c r="H462" s="12" t="s">
        <v>76</v>
      </c>
      <c r="I462" s="12" t="n">
        <v>8</v>
      </c>
      <c r="J462" s="12" t="s">
        <v>47</v>
      </c>
      <c r="K462" s="12" t="s">
        <v>63</v>
      </c>
      <c r="L462" s="12" t="str">
        <f aca="false">IF(OR(H462="Severe",H462="Life-Threatening"),"Yes","No")</f>
        <v>Yes</v>
      </c>
      <c r="M462" s="12" t="str">
        <f aca="false">IF(B462&lt;18,"0-17",IF(B462&lt;40,"18-39",IF(B462&lt;60,"40-59","60+")))</f>
        <v>18-39</v>
      </c>
      <c r="N462" s="12" t="str">
        <f aca="false">IF(I462&lt;=1,"0-1 days",IF(I462&lt;=7,"2-7 days",IF(I462&lt;=30,"8-30 days","&gt;30 days")))</f>
        <v>8-30 days</v>
      </c>
    </row>
    <row r="463" customFormat="false" ht="15" hidden="false" customHeight="false" outlineLevel="0" collapsed="false">
      <c r="A463" s="12" t="s">
        <v>701</v>
      </c>
      <c r="B463" s="12" t="n">
        <v>10</v>
      </c>
      <c r="C463" s="12" t="s">
        <v>34</v>
      </c>
      <c r="D463" s="12" t="s">
        <v>35</v>
      </c>
      <c r="E463" s="12" t="s">
        <v>412</v>
      </c>
      <c r="F463" s="12" t="s">
        <v>139</v>
      </c>
      <c r="G463" s="12" t="s">
        <v>38</v>
      </c>
      <c r="H463" s="12" t="s">
        <v>39</v>
      </c>
      <c r="I463" s="12" t="n">
        <v>19</v>
      </c>
      <c r="J463" s="12" t="s">
        <v>40</v>
      </c>
      <c r="K463" s="12" t="s">
        <v>48</v>
      </c>
      <c r="L463" s="12" t="str">
        <f aca="false">IF(OR(H463="Severe",H463="Life-Threatening"),"Yes","No")</f>
        <v>No</v>
      </c>
      <c r="M463" s="12" t="str">
        <f aca="false">IF(B463&lt;18,"0-17",IF(B463&lt;40,"18-39",IF(B463&lt;60,"40-59","60+")))</f>
        <v>0-17</v>
      </c>
      <c r="N463" s="12" t="str">
        <f aca="false">IF(I463&lt;=1,"0-1 days",IF(I463&lt;=7,"2-7 days",IF(I463&lt;=30,"8-30 days","&gt;30 days")))</f>
        <v>8-30 days</v>
      </c>
    </row>
    <row r="464" customFormat="false" ht="15" hidden="false" customHeight="false" outlineLevel="0" collapsed="false">
      <c r="A464" s="12" t="s">
        <v>702</v>
      </c>
      <c r="B464" s="12" t="n">
        <v>40</v>
      </c>
      <c r="C464" s="12" t="s">
        <v>43</v>
      </c>
      <c r="D464" s="12" t="s">
        <v>69</v>
      </c>
      <c r="E464" s="12" t="s">
        <v>311</v>
      </c>
      <c r="F464" s="12" t="s">
        <v>249</v>
      </c>
      <c r="G464" s="12" t="s">
        <v>152</v>
      </c>
      <c r="H464" s="12" t="s">
        <v>46</v>
      </c>
      <c r="I464" s="12" t="n">
        <v>3</v>
      </c>
      <c r="J464" s="12" t="s">
        <v>40</v>
      </c>
      <c r="K464" s="12" t="s">
        <v>48</v>
      </c>
      <c r="L464" s="12" t="str">
        <f aca="false">IF(OR(H464="Severe",H464="Life-Threatening"),"Yes","No")</f>
        <v>No</v>
      </c>
      <c r="M464" s="12" t="str">
        <f aca="false">IF(B464&lt;18,"0-17",IF(B464&lt;40,"18-39",IF(B464&lt;60,"40-59","60+")))</f>
        <v>40-59</v>
      </c>
      <c r="N464" s="12" t="str">
        <f aca="false">IF(I464&lt;=1,"0-1 days",IF(I464&lt;=7,"2-7 days",IF(I464&lt;=30,"8-30 days","&gt;30 days")))</f>
        <v>2-7 days</v>
      </c>
    </row>
    <row r="465" customFormat="false" ht="15" hidden="false" customHeight="false" outlineLevel="0" collapsed="false">
      <c r="A465" s="12" t="s">
        <v>703</v>
      </c>
      <c r="B465" s="12" t="n">
        <v>46</v>
      </c>
      <c r="C465" s="12" t="s">
        <v>43</v>
      </c>
      <c r="D465" s="12" t="s">
        <v>35</v>
      </c>
      <c r="E465" s="12" t="s">
        <v>86</v>
      </c>
      <c r="F465" s="12" t="s">
        <v>103</v>
      </c>
      <c r="G465" s="12" t="s">
        <v>104</v>
      </c>
      <c r="H465" s="12" t="s">
        <v>76</v>
      </c>
      <c r="I465" s="12" t="n">
        <v>21</v>
      </c>
      <c r="J465" s="12" t="s">
        <v>47</v>
      </c>
      <c r="K465" s="12" t="s">
        <v>63</v>
      </c>
      <c r="L465" s="12" t="str">
        <f aca="false">IF(OR(H465="Severe",H465="Life-Threatening"),"Yes","No")</f>
        <v>Yes</v>
      </c>
      <c r="M465" s="12" t="str">
        <f aca="false">IF(B465&lt;18,"0-17",IF(B465&lt;40,"18-39",IF(B465&lt;60,"40-59","60+")))</f>
        <v>40-59</v>
      </c>
      <c r="N465" s="12" t="str">
        <f aca="false">IF(I465&lt;=1,"0-1 days",IF(I465&lt;=7,"2-7 days",IF(I465&lt;=30,"8-30 days","&gt;30 days")))</f>
        <v>8-30 days</v>
      </c>
    </row>
    <row r="466" customFormat="false" ht="15" hidden="false" customHeight="false" outlineLevel="0" collapsed="false">
      <c r="A466" s="12" t="s">
        <v>704</v>
      </c>
      <c r="B466" s="12" t="n">
        <v>55</v>
      </c>
      <c r="C466" s="12" t="s">
        <v>34</v>
      </c>
      <c r="D466" s="12" t="s">
        <v>112</v>
      </c>
      <c r="E466" s="12" t="s">
        <v>280</v>
      </c>
      <c r="F466" s="12" t="s">
        <v>45</v>
      </c>
      <c r="G466" s="12" t="s">
        <v>38</v>
      </c>
      <c r="H466" s="12" t="s">
        <v>46</v>
      </c>
      <c r="I466" s="12" t="n">
        <v>17</v>
      </c>
      <c r="J466" s="12" t="s">
        <v>40</v>
      </c>
      <c r="K466" s="12" t="s">
        <v>63</v>
      </c>
      <c r="L466" s="12" t="str">
        <f aca="false">IF(OR(H466="Severe",H466="Life-Threatening"),"Yes","No")</f>
        <v>No</v>
      </c>
      <c r="M466" s="12" t="str">
        <f aca="false">IF(B466&lt;18,"0-17",IF(B466&lt;40,"18-39",IF(B466&lt;60,"40-59","60+")))</f>
        <v>40-59</v>
      </c>
      <c r="N466" s="12" t="str">
        <f aca="false">IF(I466&lt;=1,"0-1 days",IF(I466&lt;=7,"2-7 days",IF(I466&lt;=30,"8-30 days","&gt;30 days")))</f>
        <v>8-30 days</v>
      </c>
    </row>
    <row r="467" customFormat="false" ht="15" hidden="false" customHeight="false" outlineLevel="0" collapsed="false">
      <c r="A467" s="12" t="s">
        <v>705</v>
      </c>
      <c r="B467" s="12" t="n">
        <v>80</v>
      </c>
      <c r="C467" s="12" t="s">
        <v>43</v>
      </c>
      <c r="D467" s="12" t="s">
        <v>149</v>
      </c>
      <c r="E467" s="12" t="s">
        <v>89</v>
      </c>
      <c r="F467" s="12" t="s">
        <v>37</v>
      </c>
      <c r="G467" s="12" t="s">
        <v>38</v>
      </c>
      <c r="H467" s="12" t="s">
        <v>39</v>
      </c>
      <c r="I467" s="12" t="n">
        <v>4</v>
      </c>
      <c r="J467" s="12" t="s">
        <v>40</v>
      </c>
      <c r="K467" s="12" t="s">
        <v>41</v>
      </c>
      <c r="L467" s="12" t="str">
        <f aca="false">IF(OR(H467="Severe",H467="Life-Threatening"),"Yes","No")</f>
        <v>No</v>
      </c>
      <c r="M467" s="12" t="str">
        <f aca="false">IF(B467&lt;18,"0-17",IF(B467&lt;40,"18-39",IF(B467&lt;60,"40-59","60+")))</f>
        <v>60+</v>
      </c>
      <c r="N467" s="12" t="str">
        <f aca="false">IF(I467&lt;=1,"0-1 days",IF(I467&lt;=7,"2-7 days",IF(I467&lt;=30,"8-30 days","&gt;30 days")))</f>
        <v>2-7 days</v>
      </c>
    </row>
    <row r="468" customFormat="false" ht="15" hidden="false" customHeight="false" outlineLevel="0" collapsed="false">
      <c r="A468" s="12" t="s">
        <v>706</v>
      </c>
      <c r="B468" s="12" t="n">
        <v>46</v>
      </c>
      <c r="C468" s="12" t="s">
        <v>43</v>
      </c>
      <c r="D468" s="12" t="s">
        <v>50</v>
      </c>
      <c r="E468" s="12" t="s">
        <v>313</v>
      </c>
      <c r="F468" s="12" t="s">
        <v>142</v>
      </c>
      <c r="G468" s="12" t="s">
        <v>38</v>
      </c>
      <c r="H468" s="12" t="s">
        <v>46</v>
      </c>
      <c r="I468" s="12" t="n">
        <v>10</v>
      </c>
      <c r="J468" s="12" t="s">
        <v>40</v>
      </c>
      <c r="K468" s="12" t="s">
        <v>48</v>
      </c>
      <c r="L468" s="12" t="str">
        <f aca="false">IF(OR(H468="Severe",H468="Life-Threatening"),"Yes","No")</f>
        <v>No</v>
      </c>
      <c r="M468" s="12" t="str">
        <f aca="false">IF(B468&lt;18,"0-17",IF(B468&lt;40,"18-39",IF(B468&lt;60,"40-59","60+")))</f>
        <v>40-59</v>
      </c>
      <c r="N468" s="12" t="str">
        <f aca="false">IF(I468&lt;=1,"0-1 days",IF(I468&lt;=7,"2-7 days",IF(I468&lt;=30,"8-30 days","&gt;30 days")))</f>
        <v>8-30 days</v>
      </c>
    </row>
    <row r="469" customFormat="false" ht="15" hidden="false" customHeight="false" outlineLevel="0" collapsed="false">
      <c r="A469" s="12" t="s">
        <v>707</v>
      </c>
      <c r="B469" s="12" t="n">
        <v>83</v>
      </c>
      <c r="C469" s="12" t="s">
        <v>43</v>
      </c>
      <c r="D469" s="12" t="s">
        <v>196</v>
      </c>
      <c r="E469" s="12" t="s">
        <v>227</v>
      </c>
      <c r="F469" s="12" t="s">
        <v>264</v>
      </c>
      <c r="G469" s="12" t="s">
        <v>104</v>
      </c>
      <c r="H469" s="12" t="s">
        <v>76</v>
      </c>
      <c r="I469" s="12" t="n">
        <v>41</v>
      </c>
      <c r="J469" s="12" t="s">
        <v>67</v>
      </c>
      <c r="K469" s="12" t="s">
        <v>63</v>
      </c>
      <c r="L469" s="12" t="str">
        <f aca="false">IF(OR(H469="Severe",H469="Life-Threatening"),"Yes","No")</f>
        <v>Yes</v>
      </c>
      <c r="M469" s="12" t="str">
        <f aca="false">IF(B469&lt;18,"0-17",IF(B469&lt;40,"18-39",IF(B469&lt;60,"40-59","60+")))</f>
        <v>60+</v>
      </c>
      <c r="N469" s="12" t="str">
        <f aca="false">IF(I469&lt;=1,"0-1 days",IF(I469&lt;=7,"2-7 days",IF(I469&lt;=30,"8-30 days","&gt;30 days")))</f>
        <v>&gt;30 days</v>
      </c>
    </row>
    <row r="470" customFormat="false" ht="15" hidden="false" customHeight="false" outlineLevel="0" collapsed="false">
      <c r="A470" s="12" t="s">
        <v>708</v>
      </c>
      <c r="B470" s="12" t="n">
        <v>40</v>
      </c>
      <c r="C470" s="12" t="s">
        <v>34</v>
      </c>
      <c r="D470" s="12" t="s">
        <v>69</v>
      </c>
      <c r="E470" s="12" t="s">
        <v>261</v>
      </c>
      <c r="F470" s="12" t="s">
        <v>45</v>
      </c>
      <c r="G470" s="12" t="s">
        <v>38</v>
      </c>
      <c r="H470" s="12" t="s">
        <v>46</v>
      </c>
      <c r="I470" s="12" t="n">
        <v>16</v>
      </c>
      <c r="J470" s="12" t="s">
        <v>40</v>
      </c>
      <c r="K470" s="12" t="s">
        <v>48</v>
      </c>
      <c r="L470" s="12" t="str">
        <f aca="false">IF(OR(H470="Severe",H470="Life-Threatening"),"Yes","No")</f>
        <v>No</v>
      </c>
      <c r="M470" s="12" t="str">
        <f aca="false">IF(B470&lt;18,"0-17",IF(B470&lt;40,"18-39",IF(B470&lt;60,"40-59","60+")))</f>
        <v>40-59</v>
      </c>
      <c r="N470" s="12" t="str">
        <f aca="false">IF(I470&lt;=1,"0-1 days",IF(I470&lt;=7,"2-7 days",IF(I470&lt;=30,"8-30 days","&gt;30 days")))</f>
        <v>8-30 days</v>
      </c>
    </row>
    <row r="471" customFormat="false" ht="15" hidden="false" customHeight="false" outlineLevel="0" collapsed="false">
      <c r="A471" s="12" t="s">
        <v>709</v>
      </c>
      <c r="B471" s="12" t="n">
        <v>59</v>
      </c>
      <c r="C471" s="12" t="s">
        <v>43</v>
      </c>
      <c r="D471" s="12" t="s">
        <v>234</v>
      </c>
      <c r="E471" s="12" t="s">
        <v>268</v>
      </c>
      <c r="F471" s="12" t="s">
        <v>364</v>
      </c>
      <c r="G471" s="12" t="s">
        <v>38</v>
      </c>
      <c r="H471" s="12" t="s">
        <v>76</v>
      </c>
      <c r="I471" s="12" t="n">
        <v>7</v>
      </c>
      <c r="J471" s="12" t="s">
        <v>67</v>
      </c>
      <c r="K471" s="12" t="s">
        <v>147</v>
      </c>
      <c r="L471" s="12" t="str">
        <f aca="false">IF(OR(H471="Severe",H471="Life-Threatening"),"Yes","No")</f>
        <v>Yes</v>
      </c>
      <c r="M471" s="12" t="str">
        <f aca="false">IF(B471&lt;18,"0-17",IF(B471&lt;40,"18-39",IF(B471&lt;60,"40-59","60+")))</f>
        <v>40-59</v>
      </c>
      <c r="N471" s="12" t="str">
        <f aca="false">IF(I471&lt;=1,"0-1 days",IF(I471&lt;=7,"2-7 days",IF(I471&lt;=30,"8-30 days","&gt;30 days")))</f>
        <v>2-7 days</v>
      </c>
    </row>
    <row r="472" customFormat="false" ht="15" hidden="false" customHeight="false" outlineLevel="0" collapsed="false">
      <c r="A472" s="12" t="s">
        <v>710</v>
      </c>
      <c r="B472" s="12" t="n">
        <v>60</v>
      </c>
      <c r="C472" s="12" t="s">
        <v>43</v>
      </c>
      <c r="D472" s="12" t="s">
        <v>120</v>
      </c>
      <c r="E472" s="12" t="s">
        <v>213</v>
      </c>
      <c r="F472" s="12" t="s">
        <v>214</v>
      </c>
      <c r="G472" s="12" t="s">
        <v>115</v>
      </c>
      <c r="H472" s="12" t="s">
        <v>46</v>
      </c>
      <c r="I472" s="12" t="n">
        <v>4</v>
      </c>
      <c r="J472" s="12" t="s">
        <v>40</v>
      </c>
      <c r="K472" s="12" t="s">
        <v>63</v>
      </c>
      <c r="L472" s="12" t="str">
        <f aca="false">IF(OR(H472="Severe",H472="Life-Threatening"),"Yes","No")</f>
        <v>No</v>
      </c>
      <c r="M472" s="12" t="str">
        <f aca="false">IF(B472&lt;18,"0-17",IF(B472&lt;40,"18-39",IF(B472&lt;60,"40-59","60+")))</f>
        <v>60+</v>
      </c>
      <c r="N472" s="12" t="str">
        <f aca="false">IF(I472&lt;=1,"0-1 days",IF(I472&lt;=7,"2-7 days",IF(I472&lt;=30,"8-30 days","&gt;30 days")))</f>
        <v>2-7 days</v>
      </c>
    </row>
    <row r="473" customFormat="false" ht="15" hidden="false" customHeight="false" outlineLevel="0" collapsed="false">
      <c r="A473" s="12" t="s">
        <v>711</v>
      </c>
      <c r="B473" s="12" t="n">
        <v>51</v>
      </c>
      <c r="C473" s="12" t="s">
        <v>34</v>
      </c>
      <c r="D473" s="12" t="s">
        <v>155</v>
      </c>
      <c r="E473" s="12" t="s">
        <v>239</v>
      </c>
      <c r="F473" s="12" t="s">
        <v>249</v>
      </c>
      <c r="G473" s="12" t="s">
        <v>152</v>
      </c>
      <c r="H473" s="12" t="s">
        <v>39</v>
      </c>
      <c r="I473" s="12" t="n">
        <v>30</v>
      </c>
      <c r="J473" s="12" t="s">
        <v>40</v>
      </c>
      <c r="K473" s="12" t="s">
        <v>63</v>
      </c>
      <c r="L473" s="12" t="str">
        <f aca="false">IF(OR(H473="Severe",H473="Life-Threatening"),"Yes","No")</f>
        <v>No</v>
      </c>
      <c r="M473" s="12" t="str">
        <f aca="false">IF(B473&lt;18,"0-17",IF(B473&lt;40,"18-39",IF(B473&lt;60,"40-59","60+")))</f>
        <v>40-59</v>
      </c>
      <c r="N473" s="12" t="str">
        <f aca="false">IF(I473&lt;=1,"0-1 days",IF(I473&lt;=7,"2-7 days",IF(I473&lt;=30,"8-30 days","&gt;30 days")))</f>
        <v>8-30 days</v>
      </c>
    </row>
    <row r="474" customFormat="false" ht="15" hidden="false" customHeight="false" outlineLevel="0" collapsed="false">
      <c r="A474" s="12" t="s">
        <v>712</v>
      </c>
      <c r="B474" s="12" t="n">
        <v>31</v>
      </c>
      <c r="C474" s="12" t="s">
        <v>34</v>
      </c>
      <c r="D474" s="12" t="s">
        <v>202</v>
      </c>
      <c r="E474" s="12" t="s">
        <v>313</v>
      </c>
      <c r="F474" s="12" t="s">
        <v>325</v>
      </c>
      <c r="G474" s="12" t="s">
        <v>177</v>
      </c>
      <c r="H474" s="12" t="s">
        <v>39</v>
      </c>
      <c r="I474" s="12" t="n">
        <v>8</v>
      </c>
      <c r="J474" s="12" t="s">
        <v>40</v>
      </c>
      <c r="K474" s="12" t="s">
        <v>63</v>
      </c>
      <c r="L474" s="12" t="str">
        <f aca="false">IF(OR(H474="Severe",H474="Life-Threatening"),"Yes","No")</f>
        <v>No</v>
      </c>
      <c r="M474" s="12" t="str">
        <f aca="false">IF(B474&lt;18,"0-17",IF(B474&lt;40,"18-39",IF(B474&lt;60,"40-59","60+")))</f>
        <v>18-39</v>
      </c>
      <c r="N474" s="12" t="str">
        <f aca="false">IF(I474&lt;=1,"0-1 days",IF(I474&lt;=7,"2-7 days",IF(I474&lt;=30,"8-30 days","&gt;30 days")))</f>
        <v>8-30 days</v>
      </c>
    </row>
    <row r="475" customFormat="false" ht="15" hidden="false" customHeight="false" outlineLevel="0" collapsed="false">
      <c r="A475" s="12" t="s">
        <v>713</v>
      </c>
      <c r="B475" s="12" t="n">
        <v>42</v>
      </c>
      <c r="C475" s="12" t="s">
        <v>34</v>
      </c>
      <c r="D475" s="12" t="s">
        <v>123</v>
      </c>
      <c r="E475" s="12" t="s">
        <v>181</v>
      </c>
      <c r="F475" s="12" t="s">
        <v>37</v>
      </c>
      <c r="G475" s="12" t="s">
        <v>38</v>
      </c>
      <c r="H475" s="12" t="s">
        <v>46</v>
      </c>
      <c r="I475" s="12" t="n">
        <v>9</v>
      </c>
      <c r="J475" s="12" t="s">
        <v>40</v>
      </c>
      <c r="K475" s="12" t="s">
        <v>41</v>
      </c>
      <c r="L475" s="12" t="str">
        <f aca="false">IF(OR(H475="Severe",H475="Life-Threatening"),"Yes","No")</f>
        <v>No</v>
      </c>
      <c r="M475" s="12" t="str">
        <f aca="false">IF(B475&lt;18,"0-17",IF(B475&lt;40,"18-39",IF(B475&lt;60,"40-59","60+")))</f>
        <v>40-59</v>
      </c>
      <c r="N475" s="12" t="str">
        <f aca="false">IF(I475&lt;=1,"0-1 days",IF(I475&lt;=7,"2-7 days",IF(I475&lt;=30,"8-30 days","&gt;30 days")))</f>
        <v>8-30 days</v>
      </c>
    </row>
    <row r="476" customFormat="false" ht="15" hidden="false" customHeight="false" outlineLevel="0" collapsed="false">
      <c r="A476" s="12" t="s">
        <v>714</v>
      </c>
      <c r="B476" s="12" t="n">
        <v>73</v>
      </c>
      <c r="C476" s="12" t="s">
        <v>43</v>
      </c>
      <c r="D476" s="12" t="s">
        <v>55</v>
      </c>
      <c r="E476" s="12" t="s">
        <v>291</v>
      </c>
      <c r="F476" s="12" t="s">
        <v>292</v>
      </c>
      <c r="G476" s="12" t="s">
        <v>115</v>
      </c>
      <c r="H476" s="12" t="s">
        <v>76</v>
      </c>
      <c r="I476" s="12" t="n">
        <v>34</v>
      </c>
      <c r="J476" s="12" t="s">
        <v>67</v>
      </c>
      <c r="K476" s="12" t="s">
        <v>63</v>
      </c>
      <c r="L476" s="12" t="str">
        <f aca="false">IF(OR(H476="Severe",H476="Life-Threatening"),"Yes","No")</f>
        <v>Yes</v>
      </c>
      <c r="M476" s="12" t="str">
        <f aca="false">IF(B476&lt;18,"0-17",IF(B476&lt;40,"18-39",IF(B476&lt;60,"40-59","60+")))</f>
        <v>60+</v>
      </c>
      <c r="N476" s="12" t="str">
        <f aca="false">IF(I476&lt;=1,"0-1 days",IF(I476&lt;=7,"2-7 days",IF(I476&lt;=30,"8-30 days","&gt;30 days")))</f>
        <v>&gt;30 days</v>
      </c>
    </row>
    <row r="477" customFormat="false" ht="15" hidden="false" customHeight="false" outlineLevel="0" collapsed="false">
      <c r="A477" s="12" t="s">
        <v>715</v>
      </c>
      <c r="B477" s="12" t="n">
        <v>57</v>
      </c>
      <c r="C477" s="12" t="s">
        <v>34</v>
      </c>
      <c r="D477" s="12" t="s">
        <v>55</v>
      </c>
      <c r="E477" s="12" t="s">
        <v>198</v>
      </c>
      <c r="F477" s="12" t="s">
        <v>79</v>
      </c>
      <c r="G477" s="12" t="s">
        <v>80</v>
      </c>
      <c r="H477" s="12" t="s">
        <v>59</v>
      </c>
      <c r="I477" s="12" t="n">
        <v>22</v>
      </c>
      <c r="J477" s="12" t="s">
        <v>67</v>
      </c>
      <c r="K477" s="12" t="s">
        <v>48</v>
      </c>
      <c r="L477" s="12" t="str">
        <f aca="false">IF(OR(H477="Severe",H477="Life-Threatening"),"Yes","No")</f>
        <v>Yes</v>
      </c>
      <c r="M477" s="12" t="str">
        <f aca="false">IF(B477&lt;18,"0-17",IF(B477&lt;40,"18-39",IF(B477&lt;60,"40-59","60+")))</f>
        <v>40-59</v>
      </c>
      <c r="N477" s="12" t="str">
        <f aca="false">IF(I477&lt;=1,"0-1 days",IF(I477&lt;=7,"2-7 days",IF(I477&lt;=30,"8-30 days","&gt;30 days")))</f>
        <v>8-30 days</v>
      </c>
    </row>
    <row r="478" customFormat="false" ht="15" hidden="false" customHeight="false" outlineLevel="0" collapsed="false">
      <c r="A478" s="12" t="s">
        <v>716</v>
      </c>
      <c r="B478" s="12" t="n">
        <v>37</v>
      </c>
      <c r="C478" s="12" t="s">
        <v>43</v>
      </c>
      <c r="D478" s="12" t="s">
        <v>35</v>
      </c>
      <c r="E478" s="12" t="s">
        <v>229</v>
      </c>
      <c r="F478" s="12" t="s">
        <v>139</v>
      </c>
      <c r="G478" s="12" t="s">
        <v>38</v>
      </c>
      <c r="H478" s="12" t="s">
        <v>76</v>
      </c>
      <c r="I478" s="12" t="n">
        <v>18</v>
      </c>
      <c r="J478" s="12" t="s">
        <v>40</v>
      </c>
      <c r="K478" s="12" t="s">
        <v>48</v>
      </c>
      <c r="L478" s="12" t="str">
        <f aca="false">IF(OR(H478="Severe",H478="Life-Threatening"),"Yes","No")</f>
        <v>Yes</v>
      </c>
      <c r="M478" s="12" t="str">
        <f aca="false">IF(B478&lt;18,"0-17",IF(B478&lt;40,"18-39",IF(B478&lt;60,"40-59","60+")))</f>
        <v>18-39</v>
      </c>
      <c r="N478" s="12" t="str">
        <f aca="false">IF(I478&lt;=1,"0-1 days",IF(I478&lt;=7,"2-7 days",IF(I478&lt;=30,"8-30 days","&gt;30 days")))</f>
        <v>8-30 days</v>
      </c>
    </row>
    <row r="479" customFormat="false" ht="15" hidden="false" customHeight="false" outlineLevel="0" collapsed="false">
      <c r="A479" s="12" t="s">
        <v>717</v>
      </c>
      <c r="B479" s="12" t="n">
        <v>59</v>
      </c>
      <c r="C479" s="12" t="s">
        <v>34</v>
      </c>
      <c r="D479" s="12" t="s">
        <v>102</v>
      </c>
      <c r="E479" s="12" t="s">
        <v>156</v>
      </c>
      <c r="F479" s="12" t="s">
        <v>93</v>
      </c>
      <c r="G479" s="12" t="s">
        <v>94</v>
      </c>
      <c r="H479" s="12" t="s">
        <v>46</v>
      </c>
      <c r="I479" s="12" t="n">
        <v>32</v>
      </c>
      <c r="J479" s="12" t="s">
        <v>40</v>
      </c>
      <c r="K479" s="12" t="s">
        <v>48</v>
      </c>
      <c r="L479" s="12" t="str">
        <f aca="false">IF(OR(H479="Severe",H479="Life-Threatening"),"Yes","No")</f>
        <v>No</v>
      </c>
      <c r="M479" s="12" t="str">
        <f aca="false">IF(B479&lt;18,"0-17",IF(B479&lt;40,"18-39",IF(B479&lt;60,"40-59","60+")))</f>
        <v>40-59</v>
      </c>
      <c r="N479" s="12" t="str">
        <f aca="false">IF(I479&lt;=1,"0-1 days",IF(I479&lt;=7,"2-7 days",IF(I479&lt;=30,"8-30 days","&gt;30 days")))</f>
        <v>&gt;30 days</v>
      </c>
    </row>
    <row r="480" customFormat="false" ht="15" hidden="false" customHeight="false" outlineLevel="0" collapsed="false">
      <c r="A480" s="12" t="s">
        <v>718</v>
      </c>
      <c r="B480" s="12" t="n">
        <v>43</v>
      </c>
      <c r="C480" s="12" t="s">
        <v>43</v>
      </c>
      <c r="D480" s="12" t="s">
        <v>231</v>
      </c>
      <c r="E480" s="12" t="s">
        <v>307</v>
      </c>
      <c r="F480" s="12" t="s">
        <v>249</v>
      </c>
      <c r="G480" s="12" t="s">
        <v>152</v>
      </c>
      <c r="H480" s="12" t="s">
        <v>46</v>
      </c>
      <c r="I480" s="12" t="n">
        <v>19</v>
      </c>
      <c r="J480" s="12" t="s">
        <v>40</v>
      </c>
      <c r="K480" s="12" t="s">
        <v>63</v>
      </c>
      <c r="L480" s="12" t="str">
        <f aca="false">IF(OR(H480="Severe",H480="Life-Threatening"),"Yes","No")</f>
        <v>No</v>
      </c>
      <c r="M480" s="12" t="str">
        <f aca="false">IF(B480&lt;18,"0-17",IF(B480&lt;40,"18-39",IF(B480&lt;60,"40-59","60+")))</f>
        <v>40-59</v>
      </c>
      <c r="N480" s="12" t="str">
        <f aca="false">IF(I480&lt;=1,"0-1 days",IF(I480&lt;=7,"2-7 days",IF(I480&lt;=30,"8-30 days","&gt;30 days")))</f>
        <v>8-30 days</v>
      </c>
    </row>
    <row r="481" customFormat="false" ht="15" hidden="false" customHeight="false" outlineLevel="0" collapsed="false">
      <c r="A481" s="12" t="s">
        <v>719</v>
      </c>
      <c r="B481" s="12" t="n">
        <v>21</v>
      </c>
      <c r="C481" s="12" t="s">
        <v>43</v>
      </c>
      <c r="D481" s="12" t="s">
        <v>69</v>
      </c>
      <c r="E481" s="12" t="s">
        <v>304</v>
      </c>
      <c r="F481" s="12" t="s">
        <v>305</v>
      </c>
      <c r="G481" s="12" t="s">
        <v>177</v>
      </c>
      <c r="H481" s="12" t="s">
        <v>39</v>
      </c>
      <c r="I481" s="12" t="n">
        <v>16</v>
      </c>
      <c r="J481" s="12" t="s">
        <v>40</v>
      </c>
      <c r="K481" s="12" t="s">
        <v>48</v>
      </c>
      <c r="L481" s="12" t="str">
        <f aca="false">IF(OR(H481="Severe",H481="Life-Threatening"),"Yes","No")</f>
        <v>No</v>
      </c>
      <c r="M481" s="12" t="str">
        <f aca="false">IF(B481&lt;18,"0-17",IF(B481&lt;40,"18-39",IF(B481&lt;60,"40-59","60+")))</f>
        <v>18-39</v>
      </c>
      <c r="N481" s="12" t="str">
        <f aca="false">IF(I481&lt;=1,"0-1 days",IF(I481&lt;=7,"2-7 days",IF(I481&lt;=30,"8-30 days","&gt;30 days")))</f>
        <v>8-30 days</v>
      </c>
    </row>
    <row r="482" customFormat="false" ht="15" hidden="false" customHeight="false" outlineLevel="0" collapsed="false">
      <c r="A482" s="12" t="s">
        <v>720</v>
      </c>
      <c r="B482" s="12" t="n">
        <v>60</v>
      </c>
      <c r="C482" s="12" t="s">
        <v>43</v>
      </c>
      <c r="D482" s="12" t="s">
        <v>99</v>
      </c>
      <c r="E482" s="12" t="s">
        <v>268</v>
      </c>
      <c r="F482" s="12" t="s">
        <v>274</v>
      </c>
      <c r="G482" s="12" t="s">
        <v>146</v>
      </c>
      <c r="H482" s="12" t="s">
        <v>39</v>
      </c>
      <c r="I482" s="12" t="n">
        <v>11</v>
      </c>
      <c r="J482" s="12" t="s">
        <v>47</v>
      </c>
      <c r="K482" s="12" t="s">
        <v>48</v>
      </c>
      <c r="L482" s="12" t="str">
        <f aca="false">IF(OR(H482="Severe",H482="Life-Threatening"),"Yes","No")</f>
        <v>No</v>
      </c>
      <c r="M482" s="12" t="str">
        <f aca="false">IF(B482&lt;18,"0-17",IF(B482&lt;40,"18-39",IF(B482&lt;60,"40-59","60+")))</f>
        <v>60+</v>
      </c>
      <c r="N482" s="12" t="str">
        <f aca="false">IF(I482&lt;=1,"0-1 days",IF(I482&lt;=7,"2-7 days",IF(I482&lt;=30,"8-30 days","&gt;30 days")))</f>
        <v>8-30 days</v>
      </c>
    </row>
    <row r="483" customFormat="false" ht="15" hidden="false" customHeight="false" outlineLevel="0" collapsed="false">
      <c r="A483" s="12" t="s">
        <v>721</v>
      </c>
      <c r="B483" s="12" t="n">
        <v>36</v>
      </c>
      <c r="C483" s="12" t="s">
        <v>34</v>
      </c>
      <c r="D483" s="12" t="s">
        <v>82</v>
      </c>
      <c r="E483" s="12" t="s">
        <v>315</v>
      </c>
      <c r="F483" s="12" t="s">
        <v>176</v>
      </c>
      <c r="G483" s="12" t="s">
        <v>177</v>
      </c>
      <c r="H483" s="12" t="s">
        <v>39</v>
      </c>
      <c r="I483" s="12" t="n">
        <v>15</v>
      </c>
      <c r="J483" s="12" t="s">
        <v>47</v>
      </c>
      <c r="K483" s="12" t="s">
        <v>48</v>
      </c>
      <c r="L483" s="12" t="str">
        <f aca="false">IF(OR(H483="Severe",H483="Life-Threatening"),"Yes","No")</f>
        <v>No</v>
      </c>
      <c r="M483" s="12" t="str">
        <f aca="false">IF(B483&lt;18,"0-17",IF(B483&lt;40,"18-39",IF(B483&lt;60,"40-59","60+")))</f>
        <v>18-39</v>
      </c>
      <c r="N483" s="12" t="str">
        <f aca="false">IF(I483&lt;=1,"0-1 days",IF(I483&lt;=7,"2-7 days",IF(I483&lt;=30,"8-30 days","&gt;30 days")))</f>
        <v>8-30 days</v>
      </c>
    </row>
    <row r="484" customFormat="false" ht="15" hidden="false" customHeight="false" outlineLevel="0" collapsed="false">
      <c r="A484" s="12" t="s">
        <v>722</v>
      </c>
      <c r="B484" s="12" t="n">
        <v>35</v>
      </c>
      <c r="C484" s="12" t="s">
        <v>34</v>
      </c>
      <c r="D484" s="12" t="s">
        <v>55</v>
      </c>
      <c r="E484" s="12" t="s">
        <v>398</v>
      </c>
      <c r="F484" s="12" t="s">
        <v>37</v>
      </c>
      <c r="G484" s="12" t="s">
        <v>38</v>
      </c>
      <c r="H484" s="12" t="s">
        <v>39</v>
      </c>
      <c r="I484" s="12" t="n">
        <v>7</v>
      </c>
      <c r="J484" s="12" t="s">
        <v>40</v>
      </c>
      <c r="K484" s="12" t="s">
        <v>48</v>
      </c>
      <c r="L484" s="12" t="str">
        <f aca="false">IF(OR(H484="Severe",H484="Life-Threatening"),"Yes","No")</f>
        <v>No</v>
      </c>
      <c r="M484" s="12" t="str">
        <f aca="false">IF(B484&lt;18,"0-17",IF(B484&lt;40,"18-39",IF(B484&lt;60,"40-59","60+")))</f>
        <v>18-39</v>
      </c>
      <c r="N484" s="12" t="str">
        <f aca="false">IF(I484&lt;=1,"0-1 days",IF(I484&lt;=7,"2-7 days",IF(I484&lt;=30,"8-30 days","&gt;30 days")))</f>
        <v>2-7 days</v>
      </c>
    </row>
    <row r="485" customFormat="false" ht="15" hidden="false" customHeight="false" outlineLevel="0" collapsed="false">
      <c r="A485" s="12" t="s">
        <v>723</v>
      </c>
      <c r="B485" s="12" t="n">
        <v>57</v>
      </c>
      <c r="C485" s="12" t="s">
        <v>34</v>
      </c>
      <c r="D485" s="12" t="s">
        <v>196</v>
      </c>
      <c r="E485" s="12" t="s">
        <v>121</v>
      </c>
      <c r="F485" s="12" t="s">
        <v>565</v>
      </c>
      <c r="G485" s="12" t="s">
        <v>115</v>
      </c>
      <c r="H485" s="12" t="s">
        <v>46</v>
      </c>
      <c r="I485" s="12" t="n">
        <v>25</v>
      </c>
      <c r="J485" s="12" t="s">
        <v>40</v>
      </c>
      <c r="K485" s="12" t="s">
        <v>63</v>
      </c>
      <c r="L485" s="12" t="str">
        <f aca="false">IF(OR(H485="Severe",H485="Life-Threatening"),"Yes","No")</f>
        <v>No</v>
      </c>
      <c r="M485" s="12" t="str">
        <f aca="false">IF(B485&lt;18,"0-17",IF(B485&lt;40,"18-39",IF(B485&lt;60,"40-59","60+")))</f>
        <v>40-59</v>
      </c>
      <c r="N485" s="12" t="str">
        <f aca="false">IF(I485&lt;=1,"0-1 days",IF(I485&lt;=7,"2-7 days",IF(I485&lt;=30,"8-30 days","&gt;30 days")))</f>
        <v>8-30 days</v>
      </c>
    </row>
    <row r="486" customFormat="false" ht="15" hidden="false" customHeight="false" outlineLevel="0" collapsed="false">
      <c r="A486" s="12" t="s">
        <v>724</v>
      </c>
      <c r="B486" s="12" t="n">
        <v>34</v>
      </c>
      <c r="C486" s="12" t="s">
        <v>43</v>
      </c>
      <c r="D486" s="12" t="s">
        <v>55</v>
      </c>
      <c r="E486" s="12" t="s">
        <v>374</v>
      </c>
      <c r="F486" s="12" t="s">
        <v>108</v>
      </c>
      <c r="G486" s="12" t="s">
        <v>38</v>
      </c>
      <c r="H486" s="12" t="s">
        <v>39</v>
      </c>
      <c r="I486" s="12" t="n">
        <v>23</v>
      </c>
      <c r="J486" s="12" t="s">
        <v>47</v>
      </c>
      <c r="K486" s="12" t="s">
        <v>48</v>
      </c>
      <c r="L486" s="12" t="str">
        <f aca="false">IF(OR(H486="Severe",H486="Life-Threatening"),"Yes","No")</f>
        <v>No</v>
      </c>
      <c r="M486" s="12" t="str">
        <f aca="false">IF(B486&lt;18,"0-17",IF(B486&lt;40,"18-39",IF(B486&lt;60,"40-59","60+")))</f>
        <v>18-39</v>
      </c>
      <c r="N486" s="12" t="str">
        <f aca="false">IF(I486&lt;=1,"0-1 days",IF(I486&lt;=7,"2-7 days",IF(I486&lt;=30,"8-30 days","&gt;30 days")))</f>
        <v>8-30 days</v>
      </c>
    </row>
    <row r="487" customFormat="false" ht="15" hidden="false" customHeight="false" outlineLevel="0" collapsed="false">
      <c r="A487" s="12" t="s">
        <v>725</v>
      </c>
      <c r="B487" s="12" t="n">
        <v>43</v>
      </c>
      <c r="C487" s="12" t="s">
        <v>43</v>
      </c>
      <c r="D487" s="12" t="s">
        <v>211</v>
      </c>
      <c r="E487" s="12" t="s">
        <v>150</v>
      </c>
      <c r="F487" s="12" t="s">
        <v>151</v>
      </c>
      <c r="G487" s="12" t="s">
        <v>152</v>
      </c>
      <c r="H487" s="12" t="s">
        <v>46</v>
      </c>
      <c r="I487" s="12" t="n">
        <v>0</v>
      </c>
      <c r="J487" s="12" t="s">
        <v>47</v>
      </c>
      <c r="K487" s="12" t="s">
        <v>48</v>
      </c>
      <c r="L487" s="12" t="str">
        <f aca="false">IF(OR(H487="Severe",H487="Life-Threatening"),"Yes","No")</f>
        <v>No</v>
      </c>
      <c r="M487" s="12" t="str">
        <f aca="false">IF(B487&lt;18,"0-17",IF(B487&lt;40,"18-39",IF(B487&lt;60,"40-59","60+")))</f>
        <v>40-59</v>
      </c>
      <c r="N487" s="12" t="str">
        <f aca="false">IF(I487&lt;=1,"0-1 days",IF(I487&lt;=7,"2-7 days",IF(I487&lt;=30,"8-30 days","&gt;30 days")))</f>
        <v>0-1 days</v>
      </c>
    </row>
    <row r="488" customFormat="false" ht="15" hidden="false" customHeight="false" outlineLevel="0" collapsed="false">
      <c r="A488" s="12" t="s">
        <v>726</v>
      </c>
      <c r="B488" s="12" t="n">
        <v>57</v>
      </c>
      <c r="C488" s="12" t="s">
        <v>43</v>
      </c>
      <c r="D488" s="12" t="s">
        <v>194</v>
      </c>
      <c r="E488" s="12" t="s">
        <v>44</v>
      </c>
      <c r="F488" s="12" t="s">
        <v>45</v>
      </c>
      <c r="G488" s="12" t="s">
        <v>38</v>
      </c>
      <c r="H488" s="12" t="s">
        <v>46</v>
      </c>
      <c r="I488" s="12" t="n">
        <v>27</v>
      </c>
      <c r="J488" s="12" t="s">
        <v>40</v>
      </c>
      <c r="K488" s="12" t="s">
        <v>48</v>
      </c>
      <c r="L488" s="12" t="str">
        <f aca="false">IF(OR(H488="Severe",H488="Life-Threatening"),"Yes","No")</f>
        <v>No</v>
      </c>
      <c r="M488" s="12" t="str">
        <f aca="false">IF(B488&lt;18,"0-17",IF(B488&lt;40,"18-39",IF(B488&lt;60,"40-59","60+")))</f>
        <v>40-59</v>
      </c>
      <c r="N488" s="12" t="str">
        <f aca="false">IF(I488&lt;=1,"0-1 days",IF(I488&lt;=7,"2-7 days",IF(I488&lt;=30,"8-30 days","&gt;30 days")))</f>
        <v>8-30 days</v>
      </c>
    </row>
    <row r="489" customFormat="false" ht="15" hidden="false" customHeight="false" outlineLevel="0" collapsed="false">
      <c r="A489" s="12" t="s">
        <v>727</v>
      </c>
      <c r="B489" s="12" t="n">
        <v>49</v>
      </c>
      <c r="C489" s="12" t="s">
        <v>43</v>
      </c>
      <c r="D489" s="12" t="s">
        <v>102</v>
      </c>
      <c r="E489" s="12" t="s">
        <v>374</v>
      </c>
      <c r="F489" s="12" t="s">
        <v>325</v>
      </c>
      <c r="G489" s="12" t="s">
        <v>177</v>
      </c>
      <c r="H489" s="12" t="s">
        <v>76</v>
      </c>
      <c r="I489" s="12" t="n">
        <v>6</v>
      </c>
      <c r="J489" s="12" t="s">
        <v>47</v>
      </c>
      <c r="K489" s="12" t="s">
        <v>48</v>
      </c>
      <c r="L489" s="12" t="str">
        <f aca="false">IF(OR(H489="Severe",H489="Life-Threatening"),"Yes","No")</f>
        <v>Yes</v>
      </c>
      <c r="M489" s="12" t="str">
        <f aca="false">IF(B489&lt;18,"0-17",IF(B489&lt;40,"18-39",IF(B489&lt;60,"40-59","60+")))</f>
        <v>40-59</v>
      </c>
      <c r="N489" s="12" t="str">
        <f aca="false">IF(I489&lt;=1,"0-1 days",IF(I489&lt;=7,"2-7 days",IF(I489&lt;=30,"8-30 days","&gt;30 days")))</f>
        <v>2-7 days</v>
      </c>
    </row>
    <row r="490" customFormat="false" ht="15" hidden="false" customHeight="false" outlineLevel="0" collapsed="false">
      <c r="A490" s="12" t="s">
        <v>728</v>
      </c>
      <c r="B490" s="12" t="n">
        <v>81</v>
      </c>
      <c r="C490" s="12" t="s">
        <v>43</v>
      </c>
      <c r="D490" s="12" t="s">
        <v>144</v>
      </c>
      <c r="E490" s="12" t="s">
        <v>374</v>
      </c>
      <c r="F490" s="12" t="s">
        <v>235</v>
      </c>
      <c r="G490" s="12" t="s">
        <v>53</v>
      </c>
      <c r="H490" s="12" t="s">
        <v>39</v>
      </c>
      <c r="I490" s="12" t="n">
        <v>3</v>
      </c>
      <c r="J490" s="12" t="s">
        <v>40</v>
      </c>
      <c r="K490" s="12" t="s">
        <v>48</v>
      </c>
      <c r="L490" s="12" t="str">
        <f aca="false">IF(OR(H490="Severe",H490="Life-Threatening"),"Yes","No")</f>
        <v>No</v>
      </c>
      <c r="M490" s="12" t="str">
        <f aca="false">IF(B490&lt;18,"0-17",IF(B490&lt;40,"18-39",IF(B490&lt;60,"40-59","60+")))</f>
        <v>60+</v>
      </c>
      <c r="N490" s="12" t="str">
        <f aca="false">IF(I490&lt;=1,"0-1 days",IF(I490&lt;=7,"2-7 days",IF(I490&lt;=30,"8-30 days","&gt;30 days")))</f>
        <v>2-7 days</v>
      </c>
    </row>
    <row r="491" customFormat="false" ht="15" hidden="false" customHeight="false" outlineLevel="0" collapsed="false">
      <c r="A491" s="12" t="s">
        <v>729</v>
      </c>
      <c r="B491" s="12" t="n">
        <v>61</v>
      </c>
      <c r="C491" s="12" t="s">
        <v>43</v>
      </c>
      <c r="D491" s="12" t="s">
        <v>69</v>
      </c>
      <c r="E491" s="12" t="s">
        <v>383</v>
      </c>
      <c r="F491" s="12" t="s">
        <v>139</v>
      </c>
      <c r="G491" s="12" t="s">
        <v>38</v>
      </c>
      <c r="H491" s="12" t="s">
        <v>46</v>
      </c>
      <c r="I491" s="12" t="n">
        <v>27</v>
      </c>
      <c r="J491" s="12" t="s">
        <v>40</v>
      </c>
      <c r="K491" s="12" t="s">
        <v>48</v>
      </c>
      <c r="L491" s="12" t="str">
        <f aca="false">IF(OR(H491="Severe",H491="Life-Threatening"),"Yes","No")</f>
        <v>No</v>
      </c>
      <c r="M491" s="12" t="str">
        <f aca="false">IF(B491&lt;18,"0-17",IF(B491&lt;40,"18-39",IF(B491&lt;60,"40-59","60+")))</f>
        <v>60+</v>
      </c>
      <c r="N491" s="12" t="str">
        <f aca="false">IF(I491&lt;=1,"0-1 days",IF(I491&lt;=7,"2-7 days",IF(I491&lt;=30,"8-30 days","&gt;30 days")))</f>
        <v>8-30 days</v>
      </c>
    </row>
    <row r="492" customFormat="false" ht="15" hidden="false" customHeight="false" outlineLevel="0" collapsed="false">
      <c r="A492" s="12" t="s">
        <v>730</v>
      </c>
      <c r="B492" s="12" t="n">
        <v>77</v>
      </c>
      <c r="C492" s="12" t="s">
        <v>34</v>
      </c>
      <c r="D492" s="12" t="s">
        <v>231</v>
      </c>
      <c r="E492" s="12" t="s">
        <v>386</v>
      </c>
      <c r="F492" s="12" t="s">
        <v>531</v>
      </c>
      <c r="G492" s="12" t="s">
        <v>94</v>
      </c>
      <c r="H492" s="12" t="s">
        <v>39</v>
      </c>
      <c r="I492" s="12" t="n">
        <v>14</v>
      </c>
      <c r="J492" s="12" t="s">
        <v>40</v>
      </c>
      <c r="K492" s="12" t="s">
        <v>48</v>
      </c>
      <c r="L492" s="12" t="str">
        <f aca="false">IF(OR(H492="Severe",H492="Life-Threatening"),"Yes","No")</f>
        <v>No</v>
      </c>
      <c r="M492" s="12" t="str">
        <f aca="false">IF(B492&lt;18,"0-17",IF(B492&lt;40,"18-39",IF(B492&lt;60,"40-59","60+")))</f>
        <v>60+</v>
      </c>
      <c r="N492" s="12" t="str">
        <f aca="false">IF(I492&lt;=1,"0-1 days",IF(I492&lt;=7,"2-7 days",IF(I492&lt;=30,"8-30 days","&gt;30 days")))</f>
        <v>8-30 days</v>
      </c>
    </row>
    <row r="493" customFormat="false" ht="15" hidden="false" customHeight="false" outlineLevel="0" collapsed="false">
      <c r="A493" s="12" t="s">
        <v>731</v>
      </c>
      <c r="B493" s="12" t="n">
        <v>25</v>
      </c>
      <c r="C493" s="12" t="s">
        <v>34</v>
      </c>
      <c r="D493" s="12" t="s">
        <v>194</v>
      </c>
      <c r="E493" s="12" t="s">
        <v>208</v>
      </c>
      <c r="F493" s="12" t="s">
        <v>641</v>
      </c>
      <c r="G493" s="12" t="s">
        <v>152</v>
      </c>
      <c r="H493" s="12" t="s">
        <v>46</v>
      </c>
      <c r="I493" s="12" t="n">
        <v>19</v>
      </c>
      <c r="J493" s="12" t="s">
        <v>40</v>
      </c>
      <c r="K493" s="12" t="s">
        <v>48</v>
      </c>
      <c r="L493" s="12" t="str">
        <f aca="false">IF(OR(H493="Severe",H493="Life-Threatening"),"Yes","No")</f>
        <v>No</v>
      </c>
      <c r="M493" s="12" t="str">
        <f aca="false">IF(B493&lt;18,"0-17",IF(B493&lt;40,"18-39",IF(B493&lt;60,"40-59","60+")))</f>
        <v>18-39</v>
      </c>
      <c r="N493" s="12" t="str">
        <f aca="false">IF(I493&lt;=1,"0-1 days",IF(I493&lt;=7,"2-7 days",IF(I493&lt;=30,"8-30 days","&gt;30 days")))</f>
        <v>8-30 days</v>
      </c>
    </row>
    <row r="494" customFormat="false" ht="15" hidden="false" customHeight="false" outlineLevel="0" collapsed="false">
      <c r="A494" s="12" t="s">
        <v>732</v>
      </c>
      <c r="B494" s="12" t="n">
        <v>59</v>
      </c>
      <c r="C494" s="12" t="s">
        <v>43</v>
      </c>
      <c r="D494" s="12" t="s">
        <v>120</v>
      </c>
      <c r="E494" s="12" t="s">
        <v>36</v>
      </c>
      <c r="F494" s="12" t="s">
        <v>364</v>
      </c>
      <c r="G494" s="12" t="s">
        <v>38</v>
      </c>
      <c r="H494" s="12" t="s">
        <v>59</v>
      </c>
      <c r="I494" s="12" t="n">
        <v>27</v>
      </c>
      <c r="J494" s="12" t="s">
        <v>67</v>
      </c>
      <c r="K494" s="12" t="s">
        <v>48</v>
      </c>
      <c r="L494" s="12" t="str">
        <f aca="false">IF(OR(H494="Severe",H494="Life-Threatening"),"Yes","No")</f>
        <v>Yes</v>
      </c>
      <c r="M494" s="12" t="str">
        <f aca="false">IF(B494&lt;18,"0-17",IF(B494&lt;40,"18-39",IF(B494&lt;60,"40-59","60+")))</f>
        <v>40-59</v>
      </c>
      <c r="N494" s="12" t="str">
        <f aca="false">IF(I494&lt;=1,"0-1 days",IF(I494&lt;=7,"2-7 days",IF(I494&lt;=30,"8-30 days","&gt;30 days")))</f>
        <v>8-30 days</v>
      </c>
    </row>
    <row r="495" customFormat="false" ht="15" hidden="false" customHeight="false" outlineLevel="0" collapsed="false">
      <c r="A495" s="12" t="s">
        <v>733</v>
      </c>
      <c r="B495" s="12" t="n">
        <v>73</v>
      </c>
      <c r="C495" s="12" t="s">
        <v>34</v>
      </c>
      <c r="D495" s="12" t="s">
        <v>55</v>
      </c>
      <c r="E495" s="12" t="s">
        <v>272</v>
      </c>
      <c r="F495" s="12" t="s">
        <v>62</v>
      </c>
      <c r="G495" s="12" t="s">
        <v>53</v>
      </c>
      <c r="H495" s="12" t="s">
        <v>39</v>
      </c>
      <c r="I495" s="12" t="n">
        <v>22</v>
      </c>
      <c r="J495" s="12" t="s">
        <v>40</v>
      </c>
      <c r="K495" s="12" t="s">
        <v>41</v>
      </c>
      <c r="L495" s="12" t="str">
        <f aca="false">IF(OR(H495="Severe",H495="Life-Threatening"),"Yes","No")</f>
        <v>No</v>
      </c>
      <c r="M495" s="12" t="str">
        <f aca="false">IF(B495&lt;18,"0-17",IF(B495&lt;40,"18-39",IF(B495&lt;60,"40-59","60+")))</f>
        <v>60+</v>
      </c>
      <c r="N495" s="12" t="str">
        <f aca="false">IF(I495&lt;=1,"0-1 days",IF(I495&lt;=7,"2-7 days",IF(I495&lt;=30,"8-30 days","&gt;30 days")))</f>
        <v>8-30 days</v>
      </c>
    </row>
    <row r="496" customFormat="false" ht="15" hidden="false" customHeight="false" outlineLevel="0" collapsed="false">
      <c r="A496" s="12" t="s">
        <v>734</v>
      </c>
      <c r="B496" s="12" t="n">
        <v>54</v>
      </c>
      <c r="C496" s="12" t="s">
        <v>34</v>
      </c>
      <c r="D496" s="12" t="s">
        <v>194</v>
      </c>
      <c r="E496" s="12" t="s">
        <v>110</v>
      </c>
      <c r="F496" s="12" t="s">
        <v>322</v>
      </c>
      <c r="G496" s="12" t="s">
        <v>53</v>
      </c>
      <c r="H496" s="12" t="s">
        <v>46</v>
      </c>
      <c r="I496" s="12" t="n">
        <v>4</v>
      </c>
      <c r="J496" s="12" t="s">
        <v>40</v>
      </c>
      <c r="K496" s="12" t="s">
        <v>41</v>
      </c>
      <c r="L496" s="12" t="str">
        <f aca="false">IF(OR(H496="Severe",H496="Life-Threatening"),"Yes","No")</f>
        <v>No</v>
      </c>
      <c r="M496" s="12" t="str">
        <f aca="false">IF(B496&lt;18,"0-17",IF(B496&lt;40,"18-39",IF(B496&lt;60,"40-59","60+")))</f>
        <v>40-59</v>
      </c>
      <c r="N496" s="12" t="str">
        <f aca="false">IF(I496&lt;=1,"0-1 days",IF(I496&lt;=7,"2-7 days",IF(I496&lt;=30,"8-30 days","&gt;30 days")))</f>
        <v>2-7 days</v>
      </c>
    </row>
    <row r="497" customFormat="false" ht="15" hidden="false" customHeight="false" outlineLevel="0" collapsed="false">
      <c r="A497" s="12" t="s">
        <v>735</v>
      </c>
      <c r="B497" s="12" t="n">
        <v>64</v>
      </c>
      <c r="C497" s="12" t="s">
        <v>43</v>
      </c>
      <c r="D497" s="12" t="s">
        <v>123</v>
      </c>
      <c r="E497" s="12" t="s">
        <v>398</v>
      </c>
      <c r="F497" s="12" t="s">
        <v>364</v>
      </c>
      <c r="G497" s="12" t="s">
        <v>38</v>
      </c>
      <c r="H497" s="12" t="s">
        <v>76</v>
      </c>
      <c r="I497" s="12" t="n">
        <v>27</v>
      </c>
      <c r="J497" s="12" t="s">
        <v>40</v>
      </c>
      <c r="K497" s="12" t="s">
        <v>63</v>
      </c>
      <c r="L497" s="12" t="str">
        <f aca="false">IF(OR(H497="Severe",H497="Life-Threatening"),"Yes","No")</f>
        <v>Yes</v>
      </c>
      <c r="M497" s="12" t="str">
        <f aca="false">IF(B497&lt;18,"0-17",IF(B497&lt;40,"18-39",IF(B497&lt;60,"40-59","60+")))</f>
        <v>60+</v>
      </c>
      <c r="N497" s="12" t="str">
        <f aca="false">IF(I497&lt;=1,"0-1 days",IF(I497&lt;=7,"2-7 days",IF(I497&lt;=30,"8-30 days","&gt;30 days")))</f>
        <v>8-30 days</v>
      </c>
    </row>
    <row r="498" customFormat="false" ht="15" hidden="false" customHeight="false" outlineLevel="0" collapsed="false">
      <c r="A498" s="12" t="s">
        <v>736</v>
      </c>
      <c r="B498" s="12" t="n">
        <v>41</v>
      </c>
      <c r="C498" s="12" t="s">
        <v>34</v>
      </c>
      <c r="D498" s="12" t="s">
        <v>155</v>
      </c>
      <c r="E498" s="12" t="s">
        <v>398</v>
      </c>
      <c r="F498" s="12" t="s">
        <v>364</v>
      </c>
      <c r="G498" s="12" t="s">
        <v>38</v>
      </c>
      <c r="H498" s="12" t="s">
        <v>59</v>
      </c>
      <c r="I498" s="12" t="n">
        <v>30</v>
      </c>
      <c r="J498" s="12" t="s">
        <v>67</v>
      </c>
      <c r="K498" s="12" t="s">
        <v>63</v>
      </c>
      <c r="L498" s="12" t="str">
        <f aca="false">IF(OR(H498="Severe",H498="Life-Threatening"),"Yes","No")</f>
        <v>Yes</v>
      </c>
      <c r="M498" s="12" t="str">
        <f aca="false">IF(B498&lt;18,"0-17",IF(B498&lt;40,"18-39",IF(B498&lt;60,"40-59","60+")))</f>
        <v>40-59</v>
      </c>
      <c r="N498" s="12" t="str">
        <f aca="false">IF(I498&lt;=1,"0-1 days",IF(I498&lt;=7,"2-7 days",IF(I498&lt;=30,"8-30 days","&gt;30 days")))</f>
        <v>8-30 days</v>
      </c>
    </row>
    <row r="499" customFormat="false" ht="15" hidden="false" customHeight="false" outlineLevel="0" collapsed="false">
      <c r="A499" s="12" t="s">
        <v>737</v>
      </c>
      <c r="B499" s="12" t="n">
        <v>31</v>
      </c>
      <c r="C499" s="12" t="s">
        <v>43</v>
      </c>
      <c r="D499" s="12" t="s">
        <v>144</v>
      </c>
      <c r="E499" s="12" t="s">
        <v>173</v>
      </c>
      <c r="F499" s="12" t="s">
        <v>131</v>
      </c>
      <c r="G499" s="12" t="s">
        <v>94</v>
      </c>
      <c r="H499" s="12" t="s">
        <v>39</v>
      </c>
      <c r="I499" s="12" t="n">
        <v>29</v>
      </c>
      <c r="J499" s="12" t="s">
        <v>40</v>
      </c>
      <c r="K499" s="12" t="s">
        <v>48</v>
      </c>
      <c r="L499" s="12" t="str">
        <f aca="false">IF(OR(H499="Severe",H499="Life-Threatening"),"Yes","No")</f>
        <v>No</v>
      </c>
      <c r="M499" s="12" t="str">
        <f aca="false">IF(B499&lt;18,"0-17",IF(B499&lt;40,"18-39",IF(B499&lt;60,"40-59","60+")))</f>
        <v>18-39</v>
      </c>
      <c r="N499" s="12" t="str">
        <f aca="false">IF(I499&lt;=1,"0-1 days",IF(I499&lt;=7,"2-7 days",IF(I499&lt;=30,"8-30 days","&gt;30 days")))</f>
        <v>8-30 days</v>
      </c>
    </row>
    <row r="500" customFormat="false" ht="15" hidden="false" customHeight="false" outlineLevel="0" collapsed="false">
      <c r="A500" s="12" t="s">
        <v>738</v>
      </c>
      <c r="B500" s="12" t="n">
        <v>71</v>
      </c>
      <c r="C500" s="12" t="s">
        <v>43</v>
      </c>
      <c r="D500" s="12" t="s">
        <v>163</v>
      </c>
      <c r="E500" s="12" t="s">
        <v>304</v>
      </c>
      <c r="F500" s="12" t="s">
        <v>305</v>
      </c>
      <c r="G500" s="12" t="s">
        <v>177</v>
      </c>
      <c r="H500" s="12" t="s">
        <v>46</v>
      </c>
      <c r="I500" s="12" t="n">
        <v>27</v>
      </c>
      <c r="J500" s="12" t="s">
        <v>169</v>
      </c>
      <c r="K500" s="12" t="s">
        <v>63</v>
      </c>
      <c r="L500" s="12" t="str">
        <f aca="false">IF(OR(H500="Severe",H500="Life-Threatening"),"Yes","No")</f>
        <v>No</v>
      </c>
      <c r="M500" s="12" t="str">
        <f aca="false">IF(B500&lt;18,"0-17",IF(B500&lt;40,"18-39",IF(B500&lt;60,"40-59","60+")))</f>
        <v>60+</v>
      </c>
      <c r="N500" s="12" t="str">
        <f aca="false">IF(I500&lt;=1,"0-1 days",IF(I500&lt;=7,"2-7 days",IF(I500&lt;=30,"8-30 days","&gt;30 days")))</f>
        <v>8-30 days</v>
      </c>
    </row>
    <row r="501" customFormat="false" ht="15" hidden="false" customHeight="false" outlineLevel="0" collapsed="false">
      <c r="A501" s="12" t="s">
        <v>739</v>
      </c>
      <c r="B501" s="12" t="n">
        <v>45</v>
      </c>
      <c r="C501" s="12" t="s">
        <v>43</v>
      </c>
      <c r="D501" s="12" t="s">
        <v>190</v>
      </c>
      <c r="E501" s="12" t="s">
        <v>36</v>
      </c>
      <c r="F501" s="12" t="s">
        <v>37</v>
      </c>
      <c r="G501" s="12" t="s">
        <v>38</v>
      </c>
      <c r="H501" s="12" t="s">
        <v>46</v>
      </c>
      <c r="I501" s="12" t="n">
        <v>10</v>
      </c>
      <c r="J501" s="12" t="s">
        <v>40</v>
      </c>
      <c r="K501" s="12" t="s">
        <v>63</v>
      </c>
      <c r="L501" s="12" t="str">
        <f aca="false">IF(OR(H501="Severe",H501="Life-Threatening"),"Yes","No")</f>
        <v>No</v>
      </c>
      <c r="M501" s="12" t="str">
        <f aca="false">IF(B501&lt;18,"0-17",IF(B501&lt;40,"18-39",IF(B501&lt;60,"40-59","60+")))</f>
        <v>40-59</v>
      </c>
      <c r="N501" s="12" t="str">
        <f aca="false">IF(I501&lt;=1,"0-1 days",IF(I501&lt;=7,"2-7 days",IF(I501&lt;=30,"8-30 days","&gt;30 days")))</f>
        <v>8-30 days</v>
      </c>
    </row>
    <row r="502" customFormat="false" ht="15" hidden="false" customHeight="false" outlineLevel="0" collapsed="false">
      <c r="A502" s="12" t="s">
        <v>740</v>
      </c>
      <c r="B502" s="12" t="n">
        <v>88</v>
      </c>
      <c r="C502" s="12" t="s">
        <v>34</v>
      </c>
      <c r="D502" s="12" t="s">
        <v>196</v>
      </c>
      <c r="E502" s="12" t="s">
        <v>241</v>
      </c>
      <c r="F502" s="12" t="s">
        <v>333</v>
      </c>
      <c r="G502" s="12" t="s">
        <v>104</v>
      </c>
      <c r="H502" s="12" t="s">
        <v>39</v>
      </c>
      <c r="I502" s="12" t="n">
        <v>9</v>
      </c>
      <c r="J502" s="12" t="s">
        <v>47</v>
      </c>
      <c r="K502" s="12" t="s">
        <v>63</v>
      </c>
      <c r="L502" s="12" t="str">
        <f aca="false">IF(OR(H502="Severe",H502="Life-Threatening"),"Yes","No")</f>
        <v>No</v>
      </c>
      <c r="M502" s="12" t="str">
        <f aca="false">IF(B502&lt;18,"0-17",IF(B502&lt;40,"18-39",IF(B502&lt;60,"40-59","60+")))</f>
        <v>60+</v>
      </c>
      <c r="N502" s="12" t="str">
        <f aca="false">IF(I502&lt;=1,"0-1 days",IF(I502&lt;=7,"2-7 days",IF(I502&lt;=30,"8-30 days","&gt;30 days")))</f>
        <v>8-30 days</v>
      </c>
    </row>
    <row r="503" customFormat="false" ht="15" hidden="false" customHeight="false" outlineLevel="0" collapsed="false">
      <c r="A503" s="12" t="s">
        <v>741</v>
      </c>
      <c r="B503" s="12" t="n">
        <v>55</v>
      </c>
      <c r="C503" s="12" t="s">
        <v>43</v>
      </c>
      <c r="D503" s="12" t="s">
        <v>69</v>
      </c>
      <c r="E503" s="12" t="s">
        <v>61</v>
      </c>
      <c r="F503" s="12" t="s">
        <v>45</v>
      </c>
      <c r="G503" s="12" t="s">
        <v>38</v>
      </c>
      <c r="H503" s="12" t="s">
        <v>46</v>
      </c>
      <c r="I503" s="12" t="n">
        <v>12</v>
      </c>
      <c r="J503" s="12" t="s">
        <v>40</v>
      </c>
      <c r="K503" s="12" t="s">
        <v>48</v>
      </c>
      <c r="L503" s="12" t="str">
        <f aca="false">IF(OR(H503="Severe",H503="Life-Threatening"),"Yes","No")</f>
        <v>No</v>
      </c>
      <c r="M503" s="12" t="str">
        <f aca="false">IF(B503&lt;18,"0-17",IF(B503&lt;40,"18-39",IF(B503&lt;60,"40-59","60+")))</f>
        <v>40-59</v>
      </c>
      <c r="N503" s="12" t="str">
        <f aca="false">IF(I503&lt;=1,"0-1 days",IF(I503&lt;=7,"2-7 days",IF(I503&lt;=30,"8-30 days","&gt;30 days")))</f>
        <v>8-30 days</v>
      </c>
    </row>
    <row r="504" customFormat="false" ht="15" hidden="false" customHeight="false" outlineLevel="0" collapsed="false">
      <c r="A504" s="12" t="s">
        <v>742</v>
      </c>
      <c r="B504" s="12" t="n">
        <v>63</v>
      </c>
      <c r="C504" s="12" t="s">
        <v>34</v>
      </c>
      <c r="D504" s="12" t="s">
        <v>35</v>
      </c>
      <c r="E504" s="12" t="s">
        <v>369</v>
      </c>
      <c r="F504" s="12" t="s">
        <v>743</v>
      </c>
      <c r="G504" s="12" t="s">
        <v>53</v>
      </c>
      <c r="H504" s="12" t="s">
        <v>39</v>
      </c>
      <c r="I504" s="12" t="n">
        <v>23</v>
      </c>
      <c r="J504" s="12" t="s">
        <v>47</v>
      </c>
      <c r="K504" s="12" t="s">
        <v>147</v>
      </c>
      <c r="L504" s="12" t="str">
        <f aca="false">IF(OR(H504="Severe",H504="Life-Threatening"),"Yes","No")</f>
        <v>No</v>
      </c>
      <c r="M504" s="12" t="str">
        <f aca="false">IF(B504&lt;18,"0-17",IF(B504&lt;40,"18-39",IF(B504&lt;60,"40-59","60+")))</f>
        <v>60+</v>
      </c>
      <c r="N504" s="12" t="str">
        <f aca="false">IF(I504&lt;=1,"0-1 days",IF(I504&lt;=7,"2-7 days",IF(I504&lt;=30,"8-30 days","&gt;30 days")))</f>
        <v>8-30 days</v>
      </c>
    </row>
    <row r="505" customFormat="false" ht="15" hidden="false" customHeight="false" outlineLevel="0" collapsed="false">
      <c r="A505" s="12" t="s">
        <v>744</v>
      </c>
      <c r="B505" s="12" t="n">
        <v>18</v>
      </c>
      <c r="C505" s="12" t="s">
        <v>43</v>
      </c>
      <c r="D505" s="12" t="s">
        <v>50</v>
      </c>
      <c r="E505" s="12" t="s">
        <v>530</v>
      </c>
      <c r="F505" s="12" t="s">
        <v>531</v>
      </c>
      <c r="G505" s="12" t="s">
        <v>94</v>
      </c>
      <c r="H505" s="12" t="s">
        <v>39</v>
      </c>
      <c r="I505" s="12" t="n">
        <v>1</v>
      </c>
      <c r="J505" s="12" t="s">
        <v>40</v>
      </c>
      <c r="K505" s="12" t="s">
        <v>48</v>
      </c>
      <c r="L505" s="12" t="str">
        <f aca="false">IF(OR(H505="Severe",H505="Life-Threatening"),"Yes","No")</f>
        <v>No</v>
      </c>
      <c r="M505" s="12" t="str">
        <f aca="false">IF(B505&lt;18,"0-17",IF(B505&lt;40,"18-39",IF(B505&lt;60,"40-59","60+")))</f>
        <v>18-39</v>
      </c>
      <c r="N505" s="12" t="str">
        <f aca="false">IF(I505&lt;=1,"0-1 days",IF(I505&lt;=7,"2-7 days",IF(I505&lt;=30,"8-30 days","&gt;30 days")))</f>
        <v>0-1 days</v>
      </c>
    </row>
    <row r="506" customFormat="false" ht="15" hidden="false" customHeight="false" outlineLevel="0" collapsed="false">
      <c r="A506" s="12" t="s">
        <v>745</v>
      </c>
      <c r="B506" s="12" t="n">
        <v>37</v>
      </c>
      <c r="C506" s="12" t="s">
        <v>43</v>
      </c>
      <c r="D506" s="12" t="s">
        <v>55</v>
      </c>
      <c r="E506" s="12" t="s">
        <v>307</v>
      </c>
      <c r="F506" s="12" t="s">
        <v>62</v>
      </c>
      <c r="G506" s="12" t="s">
        <v>53</v>
      </c>
      <c r="H506" s="12" t="s">
        <v>46</v>
      </c>
      <c r="I506" s="12" t="n">
        <v>11</v>
      </c>
      <c r="J506" s="12" t="s">
        <v>40</v>
      </c>
      <c r="K506" s="12" t="s">
        <v>48</v>
      </c>
      <c r="L506" s="12" t="str">
        <f aca="false">IF(OR(H506="Severe",H506="Life-Threatening"),"Yes","No")</f>
        <v>No</v>
      </c>
      <c r="M506" s="12" t="str">
        <f aca="false">IF(B506&lt;18,"0-17",IF(B506&lt;40,"18-39",IF(B506&lt;60,"40-59","60+")))</f>
        <v>18-39</v>
      </c>
      <c r="N506" s="12" t="str">
        <f aca="false">IF(I506&lt;=1,"0-1 days",IF(I506&lt;=7,"2-7 days",IF(I506&lt;=30,"8-30 days","&gt;30 days")))</f>
        <v>8-30 days</v>
      </c>
    </row>
    <row r="507" customFormat="false" ht="15" hidden="false" customHeight="false" outlineLevel="0" collapsed="false">
      <c r="A507" s="12" t="s">
        <v>746</v>
      </c>
      <c r="B507" s="12" t="n">
        <v>48</v>
      </c>
      <c r="C507" s="12" t="s">
        <v>43</v>
      </c>
      <c r="D507" s="12" t="s">
        <v>196</v>
      </c>
      <c r="E507" s="12" t="s">
        <v>253</v>
      </c>
      <c r="F507" s="12" t="s">
        <v>135</v>
      </c>
      <c r="G507" s="12" t="s">
        <v>136</v>
      </c>
      <c r="H507" s="12" t="s">
        <v>46</v>
      </c>
      <c r="I507" s="12" t="n">
        <v>12</v>
      </c>
      <c r="J507" s="12" t="s">
        <v>40</v>
      </c>
      <c r="K507" s="12" t="s">
        <v>48</v>
      </c>
      <c r="L507" s="12" t="str">
        <f aca="false">IF(OR(H507="Severe",H507="Life-Threatening"),"Yes","No")</f>
        <v>No</v>
      </c>
      <c r="M507" s="12" t="str">
        <f aca="false">IF(B507&lt;18,"0-17",IF(B507&lt;40,"18-39",IF(B507&lt;60,"40-59","60+")))</f>
        <v>40-59</v>
      </c>
      <c r="N507" s="12" t="str">
        <f aca="false">IF(I507&lt;=1,"0-1 days",IF(I507&lt;=7,"2-7 days",IF(I507&lt;=30,"8-30 days","&gt;30 days")))</f>
        <v>8-30 days</v>
      </c>
    </row>
    <row r="508" customFormat="false" ht="15" hidden="false" customHeight="false" outlineLevel="0" collapsed="false">
      <c r="A508" s="12" t="s">
        <v>747</v>
      </c>
      <c r="B508" s="12" t="n">
        <v>53</v>
      </c>
      <c r="C508" s="12" t="s">
        <v>34</v>
      </c>
      <c r="D508" s="12" t="s">
        <v>245</v>
      </c>
      <c r="E508" s="12" t="s">
        <v>74</v>
      </c>
      <c r="F508" s="12" t="s">
        <v>139</v>
      </c>
      <c r="G508" s="12" t="s">
        <v>38</v>
      </c>
      <c r="H508" s="12" t="s">
        <v>46</v>
      </c>
      <c r="I508" s="12" t="n">
        <v>11</v>
      </c>
      <c r="J508" s="12" t="s">
        <v>40</v>
      </c>
      <c r="K508" s="12" t="s">
        <v>63</v>
      </c>
      <c r="L508" s="12" t="str">
        <f aca="false">IF(OR(H508="Severe",H508="Life-Threatening"),"Yes","No")</f>
        <v>No</v>
      </c>
      <c r="M508" s="12" t="str">
        <f aca="false">IF(B508&lt;18,"0-17",IF(B508&lt;40,"18-39",IF(B508&lt;60,"40-59","60+")))</f>
        <v>40-59</v>
      </c>
      <c r="N508" s="12" t="str">
        <f aca="false">IF(I508&lt;=1,"0-1 days",IF(I508&lt;=7,"2-7 days",IF(I508&lt;=30,"8-30 days","&gt;30 days")))</f>
        <v>8-30 days</v>
      </c>
    </row>
    <row r="509" customFormat="false" ht="15" hidden="false" customHeight="false" outlineLevel="0" collapsed="false">
      <c r="A509" s="12" t="s">
        <v>748</v>
      </c>
      <c r="B509" s="12" t="n">
        <v>78</v>
      </c>
      <c r="C509" s="12" t="s">
        <v>43</v>
      </c>
      <c r="D509" s="12" t="s">
        <v>168</v>
      </c>
      <c r="E509" s="12" t="s">
        <v>61</v>
      </c>
      <c r="F509" s="12" t="s">
        <v>45</v>
      </c>
      <c r="G509" s="12" t="s">
        <v>38</v>
      </c>
      <c r="H509" s="12" t="s">
        <v>39</v>
      </c>
      <c r="I509" s="12" t="n">
        <v>13</v>
      </c>
      <c r="J509" s="12" t="s">
        <v>47</v>
      </c>
      <c r="K509" s="12" t="s">
        <v>48</v>
      </c>
      <c r="L509" s="12" t="str">
        <f aca="false">IF(OR(H509="Severe",H509="Life-Threatening"),"Yes","No")</f>
        <v>No</v>
      </c>
      <c r="M509" s="12" t="str">
        <f aca="false">IF(B509&lt;18,"0-17",IF(B509&lt;40,"18-39",IF(B509&lt;60,"40-59","60+")))</f>
        <v>60+</v>
      </c>
      <c r="N509" s="12" t="str">
        <f aca="false">IF(I509&lt;=1,"0-1 days",IF(I509&lt;=7,"2-7 days",IF(I509&lt;=30,"8-30 days","&gt;30 days")))</f>
        <v>8-30 days</v>
      </c>
    </row>
    <row r="510" customFormat="false" ht="15" hidden="false" customHeight="false" outlineLevel="0" collapsed="false">
      <c r="A510" s="12" t="s">
        <v>749</v>
      </c>
      <c r="B510" s="12" t="n">
        <v>51</v>
      </c>
      <c r="C510" s="12" t="s">
        <v>43</v>
      </c>
      <c r="D510" s="12" t="s">
        <v>50</v>
      </c>
      <c r="E510" s="12" t="s">
        <v>243</v>
      </c>
      <c r="F510" s="12" t="s">
        <v>348</v>
      </c>
      <c r="G510" s="12" t="s">
        <v>94</v>
      </c>
      <c r="H510" s="12" t="s">
        <v>59</v>
      </c>
      <c r="I510" s="12" t="n">
        <v>7</v>
      </c>
      <c r="J510" s="12" t="s">
        <v>40</v>
      </c>
      <c r="K510" s="12" t="s">
        <v>63</v>
      </c>
      <c r="L510" s="12" t="str">
        <f aca="false">IF(OR(H510="Severe",H510="Life-Threatening"),"Yes","No")</f>
        <v>Yes</v>
      </c>
      <c r="M510" s="12" t="str">
        <f aca="false">IF(B510&lt;18,"0-17",IF(B510&lt;40,"18-39",IF(B510&lt;60,"40-59","60+")))</f>
        <v>40-59</v>
      </c>
      <c r="N510" s="12" t="str">
        <f aca="false">IF(I510&lt;=1,"0-1 days",IF(I510&lt;=7,"2-7 days",IF(I510&lt;=30,"8-30 days","&gt;30 days")))</f>
        <v>2-7 days</v>
      </c>
    </row>
    <row r="511" customFormat="false" ht="15" hidden="false" customHeight="false" outlineLevel="0" collapsed="false">
      <c r="A511" s="12" t="s">
        <v>750</v>
      </c>
      <c r="B511" s="12" t="n">
        <v>55</v>
      </c>
      <c r="C511" s="12" t="s">
        <v>43</v>
      </c>
      <c r="D511" s="12" t="s">
        <v>35</v>
      </c>
      <c r="E511" s="12" t="s">
        <v>656</v>
      </c>
      <c r="F511" s="12" t="s">
        <v>751</v>
      </c>
      <c r="G511" s="12" t="s">
        <v>58</v>
      </c>
      <c r="H511" s="12" t="s">
        <v>39</v>
      </c>
      <c r="I511" s="12" t="n">
        <v>1</v>
      </c>
      <c r="J511" s="12" t="s">
        <v>40</v>
      </c>
      <c r="K511" s="12" t="s">
        <v>48</v>
      </c>
      <c r="L511" s="12" t="str">
        <f aca="false">IF(OR(H511="Severe",H511="Life-Threatening"),"Yes","No")</f>
        <v>No</v>
      </c>
      <c r="M511" s="12" t="str">
        <f aca="false">IF(B511&lt;18,"0-17",IF(B511&lt;40,"18-39",IF(B511&lt;60,"40-59","60+")))</f>
        <v>40-59</v>
      </c>
      <c r="N511" s="12" t="str">
        <f aca="false">IF(I511&lt;=1,"0-1 days",IF(I511&lt;=7,"2-7 days",IF(I511&lt;=30,"8-30 days","&gt;30 days")))</f>
        <v>0-1 days</v>
      </c>
    </row>
    <row r="512" customFormat="false" ht="15" hidden="false" customHeight="false" outlineLevel="0" collapsed="false">
      <c r="A512" s="12" t="s">
        <v>752</v>
      </c>
      <c r="B512" s="12" t="n">
        <v>56</v>
      </c>
      <c r="C512" s="12" t="s">
        <v>43</v>
      </c>
      <c r="D512" s="12" t="s">
        <v>196</v>
      </c>
      <c r="E512" s="12" t="s">
        <v>179</v>
      </c>
      <c r="F512" s="12" t="s">
        <v>45</v>
      </c>
      <c r="G512" s="12" t="s">
        <v>38</v>
      </c>
      <c r="H512" s="12" t="s">
        <v>46</v>
      </c>
      <c r="I512" s="12" t="n">
        <v>19</v>
      </c>
      <c r="J512" s="12" t="s">
        <v>47</v>
      </c>
      <c r="K512" s="12" t="s">
        <v>63</v>
      </c>
      <c r="L512" s="12" t="str">
        <f aca="false">IF(OR(H512="Severe",H512="Life-Threatening"),"Yes","No")</f>
        <v>No</v>
      </c>
      <c r="M512" s="12" t="str">
        <f aca="false">IF(B512&lt;18,"0-17",IF(B512&lt;40,"18-39",IF(B512&lt;60,"40-59","60+")))</f>
        <v>40-59</v>
      </c>
      <c r="N512" s="12" t="str">
        <f aca="false">IF(I512&lt;=1,"0-1 days",IF(I512&lt;=7,"2-7 days",IF(I512&lt;=30,"8-30 days","&gt;30 days")))</f>
        <v>8-30 days</v>
      </c>
    </row>
    <row r="513" customFormat="false" ht="15" hidden="false" customHeight="false" outlineLevel="0" collapsed="false">
      <c r="A513" s="12" t="s">
        <v>753</v>
      </c>
      <c r="B513" s="12" t="n">
        <v>47</v>
      </c>
      <c r="C513" s="12" t="s">
        <v>34</v>
      </c>
      <c r="D513" s="12" t="s">
        <v>35</v>
      </c>
      <c r="E513" s="12" t="s">
        <v>398</v>
      </c>
      <c r="F513" s="12" t="s">
        <v>364</v>
      </c>
      <c r="G513" s="12" t="s">
        <v>38</v>
      </c>
      <c r="H513" s="12" t="s">
        <v>59</v>
      </c>
      <c r="I513" s="12" t="n">
        <v>9</v>
      </c>
      <c r="J513" s="12" t="s">
        <v>67</v>
      </c>
      <c r="K513" s="12" t="s">
        <v>48</v>
      </c>
      <c r="L513" s="12" t="str">
        <f aca="false">IF(OR(H513="Severe",H513="Life-Threatening"),"Yes","No")</f>
        <v>Yes</v>
      </c>
      <c r="M513" s="12" t="str">
        <f aca="false">IF(B513&lt;18,"0-17",IF(B513&lt;40,"18-39",IF(B513&lt;60,"40-59","60+")))</f>
        <v>40-59</v>
      </c>
      <c r="N513" s="12" t="str">
        <f aca="false">IF(I513&lt;=1,"0-1 days",IF(I513&lt;=7,"2-7 days",IF(I513&lt;=30,"8-30 days","&gt;30 days")))</f>
        <v>8-30 days</v>
      </c>
    </row>
    <row r="514" customFormat="false" ht="15" hidden="false" customHeight="false" outlineLevel="0" collapsed="false">
      <c r="A514" s="12" t="s">
        <v>754</v>
      </c>
      <c r="B514" s="12" t="n">
        <v>15</v>
      </c>
      <c r="C514" s="12" t="s">
        <v>34</v>
      </c>
      <c r="D514" s="12" t="s">
        <v>231</v>
      </c>
      <c r="E514" s="12" t="s">
        <v>179</v>
      </c>
      <c r="F514" s="12" t="s">
        <v>325</v>
      </c>
      <c r="G514" s="12" t="s">
        <v>177</v>
      </c>
      <c r="H514" s="12" t="s">
        <v>76</v>
      </c>
      <c r="I514" s="12" t="n">
        <v>13</v>
      </c>
      <c r="J514" s="12" t="s">
        <v>47</v>
      </c>
      <c r="K514" s="12" t="s">
        <v>147</v>
      </c>
      <c r="L514" s="12" t="str">
        <f aca="false">IF(OR(H514="Severe",H514="Life-Threatening"),"Yes","No")</f>
        <v>Yes</v>
      </c>
      <c r="M514" s="12" t="str">
        <f aca="false">IF(B514&lt;18,"0-17",IF(B514&lt;40,"18-39",IF(B514&lt;60,"40-59","60+")))</f>
        <v>0-17</v>
      </c>
      <c r="N514" s="12" t="str">
        <f aca="false">IF(I514&lt;=1,"0-1 days",IF(I514&lt;=7,"2-7 days",IF(I514&lt;=30,"8-30 days","&gt;30 days")))</f>
        <v>8-30 days</v>
      </c>
    </row>
    <row r="515" customFormat="false" ht="15" hidden="false" customHeight="false" outlineLevel="0" collapsed="false">
      <c r="A515" s="12" t="s">
        <v>755</v>
      </c>
      <c r="B515" s="12" t="n">
        <v>82</v>
      </c>
      <c r="C515" s="12" t="s">
        <v>34</v>
      </c>
      <c r="D515" s="12" t="s">
        <v>168</v>
      </c>
      <c r="E515" s="12" t="s">
        <v>376</v>
      </c>
      <c r="F515" s="12" t="s">
        <v>62</v>
      </c>
      <c r="G515" s="12" t="s">
        <v>53</v>
      </c>
      <c r="H515" s="12" t="s">
        <v>46</v>
      </c>
      <c r="I515" s="12" t="n">
        <v>20</v>
      </c>
      <c r="J515" s="12" t="s">
        <v>40</v>
      </c>
      <c r="K515" s="12" t="s">
        <v>41</v>
      </c>
      <c r="L515" s="12" t="str">
        <f aca="false">IF(OR(H515="Severe",H515="Life-Threatening"),"Yes","No")</f>
        <v>No</v>
      </c>
      <c r="M515" s="12" t="str">
        <f aca="false">IF(B515&lt;18,"0-17",IF(B515&lt;40,"18-39",IF(B515&lt;60,"40-59","60+")))</f>
        <v>60+</v>
      </c>
      <c r="N515" s="12" t="str">
        <f aca="false">IF(I515&lt;=1,"0-1 days",IF(I515&lt;=7,"2-7 days",IF(I515&lt;=30,"8-30 days","&gt;30 days")))</f>
        <v>8-30 days</v>
      </c>
    </row>
    <row r="516" customFormat="false" ht="15" hidden="false" customHeight="false" outlineLevel="0" collapsed="false">
      <c r="A516" s="12" t="s">
        <v>756</v>
      </c>
      <c r="B516" s="12" t="n">
        <v>33</v>
      </c>
      <c r="C516" s="12" t="s">
        <v>43</v>
      </c>
      <c r="D516" s="12" t="s">
        <v>196</v>
      </c>
      <c r="E516" s="12" t="s">
        <v>352</v>
      </c>
      <c r="F516" s="12" t="s">
        <v>171</v>
      </c>
      <c r="G516" s="12" t="s">
        <v>53</v>
      </c>
      <c r="H516" s="12" t="s">
        <v>76</v>
      </c>
      <c r="I516" s="12" t="n">
        <v>8</v>
      </c>
      <c r="J516" s="12" t="s">
        <v>47</v>
      </c>
      <c r="K516" s="12" t="s">
        <v>48</v>
      </c>
      <c r="L516" s="12" t="str">
        <f aca="false">IF(OR(H516="Severe",H516="Life-Threatening"),"Yes","No")</f>
        <v>Yes</v>
      </c>
      <c r="M516" s="12" t="str">
        <f aca="false">IF(B516&lt;18,"0-17",IF(B516&lt;40,"18-39",IF(B516&lt;60,"40-59","60+")))</f>
        <v>18-39</v>
      </c>
      <c r="N516" s="12" t="str">
        <f aca="false">IF(I516&lt;=1,"0-1 days",IF(I516&lt;=7,"2-7 days",IF(I516&lt;=30,"8-30 days","&gt;30 days")))</f>
        <v>8-30 days</v>
      </c>
    </row>
    <row r="517" customFormat="false" ht="15" hidden="false" customHeight="false" outlineLevel="0" collapsed="false">
      <c r="A517" s="12" t="s">
        <v>757</v>
      </c>
      <c r="B517" s="12" t="n">
        <v>18</v>
      </c>
      <c r="C517" s="12" t="s">
        <v>43</v>
      </c>
      <c r="D517" s="12" t="s">
        <v>155</v>
      </c>
      <c r="E517" s="12" t="s">
        <v>150</v>
      </c>
      <c r="F517" s="12" t="s">
        <v>151</v>
      </c>
      <c r="G517" s="12" t="s">
        <v>152</v>
      </c>
      <c r="H517" s="12" t="s">
        <v>46</v>
      </c>
      <c r="I517" s="12" t="n">
        <v>1</v>
      </c>
      <c r="J517" s="12" t="s">
        <v>40</v>
      </c>
      <c r="K517" s="12" t="s">
        <v>63</v>
      </c>
      <c r="L517" s="12" t="str">
        <f aca="false">IF(OR(H517="Severe",H517="Life-Threatening"),"Yes","No")</f>
        <v>No</v>
      </c>
      <c r="M517" s="12" t="str">
        <f aca="false">IF(B517&lt;18,"0-17",IF(B517&lt;40,"18-39",IF(B517&lt;60,"40-59","60+")))</f>
        <v>18-39</v>
      </c>
      <c r="N517" s="12" t="str">
        <f aca="false">IF(I517&lt;=1,"0-1 days",IF(I517&lt;=7,"2-7 days",IF(I517&lt;=30,"8-30 days","&gt;30 days")))</f>
        <v>0-1 days</v>
      </c>
    </row>
    <row r="518" customFormat="false" ht="15" hidden="false" customHeight="false" outlineLevel="0" collapsed="false">
      <c r="A518" s="12" t="s">
        <v>758</v>
      </c>
      <c r="B518" s="12" t="n">
        <v>38</v>
      </c>
      <c r="C518" s="12" t="s">
        <v>34</v>
      </c>
      <c r="D518" s="12" t="s">
        <v>126</v>
      </c>
      <c r="E518" s="12" t="s">
        <v>383</v>
      </c>
      <c r="F518" s="12" t="s">
        <v>139</v>
      </c>
      <c r="G518" s="12" t="s">
        <v>38</v>
      </c>
      <c r="H518" s="12" t="s">
        <v>46</v>
      </c>
      <c r="I518" s="12" t="n">
        <v>8</v>
      </c>
      <c r="J518" s="12" t="s">
        <v>40</v>
      </c>
      <c r="K518" s="12" t="s">
        <v>48</v>
      </c>
      <c r="L518" s="12" t="str">
        <f aca="false">IF(OR(H518="Severe",H518="Life-Threatening"),"Yes","No")</f>
        <v>No</v>
      </c>
      <c r="M518" s="12" t="str">
        <f aca="false">IF(B518&lt;18,"0-17",IF(B518&lt;40,"18-39",IF(B518&lt;60,"40-59","60+")))</f>
        <v>18-39</v>
      </c>
      <c r="N518" s="12" t="str">
        <f aca="false">IF(I518&lt;=1,"0-1 days",IF(I518&lt;=7,"2-7 days",IF(I518&lt;=30,"8-30 days","&gt;30 days")))</f>
        <v>8-30 days</v>
      </c>
    </row>
    <row r="519" customFormat="false" ht="15" hidden="false" customHeight="false" outlineLevel="0" collapsed="false">
      <c r="A519" s="12" t="s">
        <v>759</v>
      </c>
      <c r="B519" s="12" t="n">
        <v>28</v>
      </c>
      <c r="C519" s="12" t="s">
        <v>34</v>
      </c>
      <c r="D519" s="12" t="s">
        <v>234</v>
      </c>
      <c r="E519" s="12" t="s">
        <v>301</v>
      </c>
      <c r="F519" s="12" t="s">
        <v>103</v>
      </c>
      <c r="G519" s="12" t="s">
        <v>104</v>
      </c>
      <c r="H519" s="12" t="s">
        <v>59</v>
      </c>
      <c r="I519" s="12" t="n">
        <v>22</v>
      </c>
      <c r="J519" s="12" t="s">
        <v>105</v>
      </c>
      <c r="K519" s="12" t="s">
        <v>63</v>
      </c>
      <c r="L519" s="12" t="str">
        <f aca="false">IF(OR(H519="Severe",H519="Life-Threatening"),"Yes","No")</f>
        <v>Yes</v>
      </c>
      <c r="M519" s="12" t="str">
        <f aca="false">IF(B519&lt;18,"0-17",IF(B519&lt;40,"18-39",IF(B519&lt;60,"40-59","60+")))</f>
        <v>18-39</v>
      </c>
      <c r="N519" s="12" t="str">
        <f aca="false">IF(I519&lt;=1,"0-1 days",IF(I519&lt;=7,"2-7 days",IF(I519&lt;=30,"8-30 days","&gt;30 days")))</f>
        <v>8-30 days</v>
      </c>
    </row>
    <row r="520" customFormat="false" ht="15" hidden="false" customHeight="false" outlineLevel="0" collapsed="false">
      <c r="A520" s="12" t="s">
        <v>760</v>
      </c>
      <c r="B520" s="12" t="n">
        <v>57</v>
      </c>
      <c r="C520" s="12" t="s">
        <v>43</v>
      </c>
      <c r="D520" s="12" t="s">
        <v>194</v>
      </c>
      <c r="E520" s="12" t="s">
        <v>110</v>
      </c>
      <c r="F520" s="12" t="s">
        <v>322</v>
      </c>
      <c r="G520" s="12" t="s">
        <v>53</v>
      </c>
      <c r="H520" s="12" t="s">
        <v>39</v>
      </c>
      <c r="I520" s="12" t="n">
        <v>5</v>
      </c>
      <c r="J520" s="12" t="s">
        <v>47</v>
      </c>
      <c r="K520" s="12" t="s">
        <v>147</v>
      </c>
      <c r="L520" s="12" t="str">
        <f aca="false">IF(OR(H520="Severe",H520="Life-Threatening"),"Yes","No")</f>
        <v>No</v>
      </c>
      <c r="M520" s="12" t="str">
        <f aca="false">IF(B520&lt;18,"0-17",IF(B520&lt;40,"18-39",IF(B520&lt;60,"40-59","60+")))</f>
        <v>40-59</v>
      </c>
      <c r="N520" s="12" t="str">
        <f aca="false">IF(I520&lt;=1,"0-1 days",IF(I520&lt;=7,"2-7 days",IF(I520&lt;=30,"8-30 days","&gt;30 days")))</f>
        <v>2-7 days</v>
      </c>
    </row>
    <row r="521" customFormat="false" ht="15" hidden="false" customHeight="false" outlineLevel="0" collapsed="false">
      <c r="A521" s="12" t="s">
        <v>761</v>
      </c>
      <c r="B521" s="12" t="n">
        <v>1</v>
      </c>
      <c r="C521" s="12" t="s">
        <v>43</v>
      </c>
      <c r="D521" s="12" t="s">
        <v>196</v>
      </c>
      <c r="E521" s="12" t="s">
        <v>280</v>
      </c>
      <c r="F521" s="12" t="s">
        <v>302</v>
      </c>
      <c r="G521" s="12" t="s">
        <v>53</v>
      </c>
      <c r="H521" s="12" t="s">
        <v>76</v>
      </c>
      <c r="I521" s="12" t="n">
        <v>7</v>
      </c>
      <c r="J521" s="12" t="s">
        <v>47</v>
      </c>
      <c r="K521" s="12" t="s">
        <v>48</v>
      </c>
      <c r="L521" s="12" t="str">
        <f aca="false">IF(OR(H521="Severe",H521="Life-Threatening"),"Yes","No")</f>
        <v>Yes</v>
      </c>
      <c r="M521" s="12" t="str">
        <f aca="false">IF(B521&lt;18,"0-17",IF(B521&lt;40,"18-39",IF(B521&lt;60,"40-59","60+")))</f>
        <v>0-17</v>
      </c>
      <c r="N521" s="12" t="str">
        <f aca="false">IF(I521&lt;=1,"0-1 days",IF(I521&lt;=7,"2-7 days",IF(I521&lt;=30,"8-30 days","&gt;30 days")))</f>
        <v>2-7 days</v>
      </c>
    </row>
    <row r="522" customFormat="false" ht="15" hidden="false" customHeight="false" outlineLevel="0" collapsed="false">
      <c r="A522" s="12" t="s">
        <v>762</v>
      </c>
      <c r="B522" s="12" t="n">
        <v>49</v>
      </c>
      <c r="C522" s="12" t="s">
        <v>34</v>
      </c>
      <c r="D522" s="12" t="s">
        <v>327</v>
      </c>
      <c r="E522" s="12" t="s">
        <v>307</v>
      </c>
      <c r="F522" s="12" t="s">
        <v>249</v>
      </c>
      <c r="G522" s="12" t="s">
        <v>152</v>
      </c>
      <c r="H522" s="12" t="s">
        <v>46</v>
      </c>
      <c r="I522" s="12" t="n">
        <v>15</v>
      </c>
      <c r="J522" s="12" t="s">
        <v>40</v>
      </c>
      <c r="K522" s="12" t="s">
        <v>48</v>
      </c>
      <c r="L522" s="12" t="str">
        <f aca="false">IF(OR(H522="Severe",H522="Life-Threatening"),"Yes","No")</f>
        <v>No</v>
      </c>
      <c r="M522" s="12" t="str">
        <f aca="false">IF(B522&lt;18,"0-17",IF(B522&lt;40,"18-39",IF(B522&lt;60,"40-59","60+")))</f>
        <v>40-59</v>
      </c>
      <c r="N522" s="12" t="str">
        <f aca="false">IF(I522&lt;=1,"0-1 days",IF(I522&lt;=7,"2-7 days",IF(I522&lt;=30,"8-30 days","&gt;30 days")))</f>
        <v>8-30 days</v>
      </c>
    </row>
    <row r="523" customFormat="false" ht="15" hidden="false" customHeight="false" outlineLevel="0" collapsed="false">
      <c r="A523" s="12" t="s">
        <v>763</v>
      </c>
      <c r="B523" s="12" t="n">
        <v>1</v>
      </c>
      <c r="C523" s="12" t="s">
        <v>34</v>
      </c>
      <c r="D523" s="12" t="s">
        <v>55</v>
      </c>
      <c r="E523" s="12" t="s">
        <v>656</v>
      </c>
      <c r="F523" s="12" t="s">
        <v>435</v>
      </c>
      <c r="G523" s="12" t="s">
        <v>146</v>
      </c>
      <c r="H523" s="12" t="s">
        <v>59</v>
      </c>
      <c r="I523" s="12" t="n">
        <v>7</v>
      </c>
      <c r="J523" s="12" t="s">
        <v>169</v>
      </c>
      <c r="K523" s="12" t="s">
        <v>63</v>
      </c>
      <c r="L523" s="12" t="str">
        <f aca="false">IF(OR(H523="Severe",H523="Life-Threatening"),"Yes","No")</f>
        <v>Yes</v>
      </c>
      <c r="M523" s="12" t="str">
        <f aca="false">IF(B523&lt;18,"0-17",IF(B523&lt;40,"18-39",IF(B523&lt;60,"40-59","60+")))</f>
        <v>0-17</v>
      </c>
      <c r="N523" s="12" t="str">
        <f aca="false">IF(I523&lt;=1,"0-1 days",IF(I523&lt;=7,"2-7 days",IF(I523&lt;=30,"8-30 days","&gt;30 days")))</f>
        <v>2-7 days</v>
      </c>
    </row>
    <row r="524" customFormat="false" ht="15" hidden="false" customHeight="false" outlineLevel="0" collapsed="false">
      <c r="A524" s="12" t="s">
        <v>764</v>
      </c>
      <c r="B524" s="12" t="n">
        <v>55</v>
      </c>
      <c r="C524" s="12" t="s">
        <v>43</v>
      </c>
      <c r="D524" s="12" t="s">
        <v>35</v>
      </c>
      <c r="E524" s="12" t="s">
        <v>398</v>
      </c>
      <c r="F524" s="12" t="s">
        <v>37</v>
      </c>
      <c r="G524" s="12" t="s">
        <v>38</v>
      </c>
      <c r="H524" s="12" t="s">
        <v>46</v>
      </c>
      <c r="I524" s="12" t="n">
        <v>3</v>
      </c>
      <c r="J524" s="12" t="s">
        <v>169</v>
      </c>
      <c r="K524" s="12" t="s">
        <v>63</v>
      </c>
      <c r="L524" s="12" t="str">
        <f aca="false">IF(OR(H524="Severe",H524="Life-Threatening"),"Yes","No")</f>
        <v>No</v>
      </c>
      <c r="M524" s="12" t="str">
        <f aca="false">IF(B524&lt;18,"0-17",IF(B524&lt;40,"18-39",IF(B524&lt;60,"40-59","60+")))</f>
        <v>40-59</v>
      </c>
      <c r="N524" s="12" t="str">
        <f aca="false">IF(I524&lt;=1,"0-1 days",IF(I524&lt;=7,"2-7 days",IF(I524&lt;=30,"8-30 days","&gt;30 days")))</f>
        <v>2-7 days</v>
      </c>
    </row>
    <row r="525" customFormat="false" ht="15" hidden="false" customHeight="false" outlineLevel="0" collapsed="false">
      <c r="A525" s="12" t="s">
        <v>765</v>
      </c>
      <c r="B525" s="12" t="n">
        <v>65</v>
      </c>
      <c r="C525" s="12" t="s">
        <v>43</v>
      </c>
      <c r="D525" s="12" t="s">
        <v>163</v>
      </c>
      <c r="E525" s="12" t="s">
        <v>86</v>
      </c>
      <c r="F525" s="12" t="s">
        <v>45</v>
      </c>
      <c r="G525" s="12" t="s">
        <v>38</v>
      </c>
      <c r="H525" s="12" t="s">
        <v>46</v>
      </c>
      <c r="I525" s="12" t="n">
        <v>14</v>
      </c>
      <c r="J525" s="12" t="s">
        <v>40</v>
      </c>
      <c r="K525" s="12" t="s">
        <v>48</v>
      </c>
      <c r="L525" s="12" t="str">
        <f aca="false">IF(OR(H525="Severe",H525="Life-Threatening"),"Yes","No")</f>
        <v>No</v>
      </c>
      <c r="M525" s="12" t="str">
        <f aca="false">IF(B525&lt;18,"0-17",IF(B525&lt;40,"18-39",IF(B525&lt;60,"40-59","60+")))</f>
        <v>60+</v>
      </c>
      <c r="N525" s="12" t="str">
        <f aca="false">IF(I525&lt;=1,"0-1 days",IF(I525&lt;=7,"2-7 days",IF(I525&lt;=30,"8-30 days","&gt;30 days")))</f>
        <v>8-30 days</v>
      </c>
    </row>
    <row r="526" customFormat="false" ht="15" hidden="false" customHeight="false" outlineLevel="0" collapsed="false">
      <c r="A526" s="12" t="s">
        <v>766</v>
      </c>
      <c r="B526" s="12" t="n">
        <v>59</v>
      </c>
      <c r="C526" s="12" t="s">
        <v>43</v>
      </c>
      <c r="D526" s="12" t="s">
        <v>102</v>
      </c>
      <c r="E526" s="12" t="s">
        <v>156</v>
      </c>
      <c r="F526" s="12" t="s">
        <v>221</v>
      </c>
      <c r="G526" s="12" t="s">
        <v>94</v>
      </c>
      <c r="H526" s="12" t="s">
        <v>39</v>
      </c>
      <c r="I526" s="12" t="n">
        <v>0</v>
      </c>
      <c r="J526" s="12" t="s">
        <v>40</v>
      </c>
      <c r="K526" s="12" t="s">
        <v>48</v>
      </c>
      <c r="L526" s="12" t="str">
        <f aca="false">IF(OR(H526="Severe",H526="Life-Threatening"),"Yes","No")</f>
        <v>No</v>
      </c>
      <c r="M526" s="12" t="str">
        <f aca="false">IF(B526&lt;18,"0-17",IF(B526&lt;40,"18-39",IF(B526&lt;60,"40-59","60+")))</f>
        <v>40-59</v>
      </c>
      <c r="N526" s="12" t="str">
        <f aca="false">IF(I526&lt;=1,"0-1 days",IF(I526&lt;=7,"2-7 days",IF(I526&lt;=30,"8-30 days","&gt;30 days")))</f>
        <v>0-1 days</v>
      </c>
    </row>
    <row r="527" customFormat="false" ht="15" hidden="false" customHeight="false" outlineLevel="0" collapsed="false">
      <c r="A527" s="12" t="s">
        <v>767</v>
      </c>
      <c r="B527" s="12" t="n">
        <v>48</v>
      </c>
      <c r="C527" s="12" t="s">
        <v>34</v>
      </c>
      <c r="D527" s="12" t="s">
        <v>123</v>
      </c>
      <c r="E527" s="12" t="s">
        <v>89</v>
      </c>
      <c r="F527" s="12" t="s">
        <v>37</v>
      </c>
      <c r="G527" s="12" t="s">
        <v>38</v>
      </c>
      <c r="H527" s="12" t="s">
        <v>46</v>
      </c>
      <c r="I527" s="12" t="n">
        <v>27</v>
      </c>
      <c r="J527" s="12" t="s">
        <v>40</v>
      </c>
      <c r="K527" s="12" t="s">
        <v>48</v>
      </c>
      <c r="L527" s="12" t="str">
        <f aca="false">IF(OR(H527="Severe",H527="Life-Threatening"),"Yes","No")</f>
        <v>No</v>
      </c>
      <c r="M527" s="12" t="str">
        <f aca="false">IF(B527&lt;18,"0-17",IF(B527&lt;40,"18-39",IF(B527&lt;60,"40-59","60+")))</f>
        <v>40-59</v>
      </c>
      <c r="N527" s="12" t="str">
        <f aca="false">IF(I527&lt;=1,"0-1 days",IF(I527&lt;=7,"2-7 days",IF(I527&lt;=30,"8-30 days","&gt;30 days")))</f>
        <v>8-30 days</v>
      </c>
    </row>
    <row r="528" customFormat="false" ht="15" hidden="false" customHeight="false" outlineLevel="0" collapsed="false">
      <c r="A528" s="12" t="s">
        <v>768</v>
      </c>
      <c r="B528" s="12" t="n">
        <v>70</v>
      </c>
      <c r="C528" s="12" t="s">
        <v>43</v>
      </c>
      <c r="D528" s="12" t="s">
        <v>55</v>
      </c>
      <c r="E528" s="12" t="s">
        <v>301</v>
      </c>
      <c r="F528" s="12" t="s">
        <v>103</v>
      </c>
      <c r="G528" s="12" t="s">
        <v>104</v>
      </c>
      <c r="H528" s="12" t="s">
        <v>39</v>
      </c>
      <c r="I528" s="12" t="n">
        <v>15</v>
      </c>
      <c r="J528" s="12" t="s">
        <v>40</v>
      </c>
      <c r="K528" s="12" t="s">
        <v>48</v>
      </c>
      <c r="L528" s="12" t="str">
        <f aca="false">IF(OR(H528="Severe",H528="Life-Threatening"),"Yes","No")</f>
        <v>No</v>
      </c>
      <c r="M528" s="12" t="str">
        <f aca="false">IF(B528&lt;18,"0-17",IF(B528&lt;40,"18-39",IF(B528&lt;60,"40-59","60+")))</f>
        <v>60+</v>
      </c>
      <c r="N528" s="12" t="str">
        <f aca="false">IF(I528&lt;=1,"0-1 days",IF(I528&lt;=7,"2-7 days",IF(I528&lt;=30,"8-30 days","&gt;30 days")))</f>
        <v>8-30 days</v>
      </c>
    </row>
    <row r="529" customFormat="false" ht="15" hidden="false" customHeight="false" outlineLevel="0" collapsed="false">
      <c r="A529" s="12" t="s">
        <v>769</v>
      </c>
      <c r="B529" s="12" t="n">
        <v>33</v>
      </c>
      <c r="C529" s="12" t="s">
        <v>43</v>
      </c>
      <c r="D529" s="12" t="s">
        <v>35</v>
      </c>
      <c r="E529" s="12" t="s">
        <v>243</v>
      </c>
      <c r="F529" s="12" t="s">
        <v>348</v>
      </c>
      <c r="G529" s="12" t="s">
        <v>94</v>
      </c>
      <c r="H529" s="12" t="s">
        <v>59</v>
      </c>
      <c r="I529" s="12" t="n">
        <v>15</v>
      </c>
      <c r="J529" s="12" t="s">
        <v>67</v>
      </c>
      <c r="K529" s="12" t="s">
        <v>63</v>
      </c>
      <c r="L529" s="12" t="str">
        <f aca="false">IF(OR(H529="Severe",H529="Life-Threatening"),"Yes","No")</f>
        <v>Yes</v>
      </c>
      <c r="M529" s="12" t="str">
        <f aca="false">IF(B529&lt;18,"0-17",IF(B529&lt;40,"18-39",IF(B529&lt;60,"40-59","60+")))</f>
        <v>18-39</v>
      </c>
      <c r="N529" s="12" t="str">
        <f aca="false">IF(I529&lt;=1,"0-1 days",IF(I529&lt;=7,"2-7 days",IF(I529&lt;=30,"8-30 days","&gt;30 days")))</f>
        <v>8-30 days</v>
      </c>
    </row>
    <row r="530" customFormat="false" ht="15" hidden="false" customHeight="false" outlineLevel="0" collapsed="false">
      <c r="A530" s="12" t="s">
        <v>770</v>
      </c>
      <c r="B530" s="12" t="n">
        <v>28</v>
      </c>
      <c r="C530" s="12" t="s">
        <v>43</v>
      </c>
      <c r="D530" s="12" t="s">
        <v>163</v>
      </c>
      <c r="E530" s="12" t="s">
        <v>268</v>
      </c>
      <c r="F530" s="12" t="s">
        <v>269</v>
      </c>
      <c r="G530" s="12" t="s">
        <v>38</v>
      </c>
      <c r="H530" s="12" t="s">
        <v>39</v>
      </c>
      <c r="I530" s="12" t="n">
        <v>21</v>
      </c>
      <c r="J530" s="12" t="s">
        <v>40</v>
      </c>
      <c r="K530" s="12" t="s">
        <v>63</v>
      </c>
      <c r="L530" s="12" t="str">
        <f aca="false">IF(OR(H530="Severe",H530="Life-Threatening"),"Yes","No")</f>
        <v>No</v>
      </c>
      <c r="M530" s="12" t="str">
        <f aca="false">IF(B530&lt;18,"0-17",IF(B530&lt;40,"18-39",IF(B530&lt;60,"40-59","60+")))</f>
        <v>18-39</v>
      </c>
      <c r="N530" s="12" t="str">
        <f aca="false">IF(I530&lt;=1,"0-1 days",IF(I530&lt;=7,"2-7 days",IF(I530&lt;=30,"8-30 days","&gt;30 days")))</f>
        <v>8-30 days</v>
      </c>
    </row>
    <row r="531" customFormat="false" ht="15" hidden="false" customHeight="false" outlineLevel="0" collapsed="false">
      <c r="A531" s="12" t="s">
        <v>771</v>
      </c>
      <c r="B531" s="12" t="n">
        <v>81</v>
      </c>
      <c r="C531" s="12" t="s">
        <v>34</v>
      </c>
      <c r="D531" s="12" t="s">
        <v>50</v>
      </c>
      <c r="E531" s="12" t="s">
        <v>304</v>
      </c>
      <c r="F531" s="12" t="s">
        <v>305</v>
      </c>
      <c r="G531" s="12" t="s">
        <v>177</v>
      </c>
      <c r="H531" s="12" t="s">
        <v>46</v>
      </c>
      <c r="I531" s="12" t="n">
        <v>2</v>
      </c>
      <c r="J531" s="12" t="s">
        <v>40</v>
      </c>
      <c r="K531" s="12" t="s">
        <v>63</v>
      </c>
      <c r="L531" s="12" t="str">
        <f aca="false">IF(OR(H531="Severe",H531="Life-Threatening"),"Yes","No")</f>
        <v>No</v>
      </c>
      <c r="M531" s="12" t="str">
        <f aca="false">IF(B531&lt;18,"0-17",IF(B531&lt;40,"18-39",IF(B531&lt;60,"40-59","60+")))</f>
        <v>60+</v>
      </c>
      <c r="N531" s="12" t="str">
        <f aca="false">IF(I531&lt;=1,"0-1 days",IF(I531&lt;=7,"2-7 days",IF(I531&lt;=30,"8-30 days","&gt;30 days")))</f>
        <v>2-7 days</v>
      </c>
    </row>
    <row r="532" customFormat="false" ht="15" hidden="false" customHeight="false" outlineLevel="0" collapsed="false">
      <c r="A532" s="12" t="s">
        <v>772</v>
      </c>
      <c r="B532" s="12" t="n">
        <v>70</v>
      </c>
      <c r="C532" s="12" t="s">
        <v>34</v>
      </c>
      <c r="D532" s="12" t="s">
        <v>245</v>
      </c>
      <c r="E532" s="12" t="s">
        <v>495</v>
      </c>
      <c r="F532" s="12" t="s">
        <v>403</v>
      </c>
      <c r="G532" s="12" t="s">
        <v>80</v>
      </c>
      <c r="H532" s="12" t="s">
        <v>46</v>
      </c>
      <c r="I532" s="12" t="n">
        <v>7</v>
      </c>
      <c r="J532" s="12" t="s">
        <v>40</v>
      </c>
      <c r="K532" s="12" t="s">
        <v>63</v>
      </c>
      <c r="L532" s="12" t="str">
        <f aca="false">IF(OR(H532="Severe",H532="Life-Threatening"),"Yes","No")</f>
        <v>No</v>
      </c>
      <c r="M532" s="12" t="str">
        <f aca="false">IF(B532&lt;18,"0-17",IF(B532&lt;40,"18-39",IF(B532&lt;60,"40-59","60+")))</f>
        <v>60+</v>
      </c>
      <c r="N532" s="12" t="str">
        <f aca="false">IF(I532&lt;=1,"0-1 days",IF(I532&lt;=7,"2-7 days",IF(I532&lt;=30,"8-30 days","&gt;30 days")))</f>
        <v>2-7 days</v>
      </c>
    </row>
    <row r="533" customFormat="false" ht="15" hidden="false" customHeight="false" outlineLevel="0" collapsed="false">
      <c r="A533" s="12" t="s">
        <v>773</v>
      </c>
      <c r="B533" s="12" t="n">
        <v>82</v>
      </c>
      <c r="C533" s="12" t="s">
        <v>34</v>
      </c>
      <c r="D533" s="12" t="s">
        <v>69</v>
      </c>
      <c r="E533" s="12" t="s">
        <v>656</v>
      </c>
      <c r="F533" s="12" t="s">
        <v>751</v>
      </c>
      <c r="G533" s="12" t="s">
        <v>58</v>
      </c>
      <c r="H533" s="12" t="s">
        <v>39</v>
      </c>
      <c r="I533" s="12" t="n">
        <v>1</v>
      </c>
      <c r="J533" s="12" t="s">
        <v>47</v>
      </c>
      <c r="K533" s="12" t="s">
        <v>63</v>
      </c>
      <c r="L533" s="12" t="str">
        <f aca="false">IF(OR(H533="Severe",H533="Life-Threatening"),"Yes","No")</f>
        <v>No</v>
      </c>
      <c r="M533" s="12" t="str">
        <f aca="false">IF(B533&lt;18,"0-17",IF(B533&lt;40,"18-39",IF(B533&lt;60,"40-59","60+")))</f>
        <v>60+</v>
      </c>
      <c r="N533" s="12" t="str">
        <f aca="false">IF(I533&lt;=1,"0-1 days",IF(I533&lt;=7,"2-7 days",IF(I533&lt;=30,"8-30 days","&gt;30 days")))</f>
        <v>0-1 days</v>
      </c>
    </row>
    <row r="534" customFormat="false" ht="15" hidden="false" customHeight="false" outlineLevel="0" collapsed="false">
      <c r="A534" s="12" t="s">
        <v>774</v>
      </c>
      <c r="B534" s="12" t="n">
        <v>38</v>
      </c>
      <c r="C534" s="12" t="s">
        <v>34</v>
      </c>
      <c r="D534" s="12" t="s">
        <v>474</v>
      </c>
      <c r="E534" s="12" t="s">
        <v>495</v>
      </c>
      <c r="F534" s="12" t="s">
        <v>403</v>
      </c>
      <c r="G534" s="12" t="s">
        <v>80</v>
      </c>
      <c r="H534" s="12" t="s">
        <v>46</v>
      </c>
      <c r="I534" s="12" t="n">
        <v>3</v>
      </c>
      <c r="J534" s="12" t="s">
        <v>47</v>
      </c>
      <c r="K534" s="12" t="s">
        <v>48</v>
      </c>
      <c r="L534" s="12" t="str">
        <f aca="false">IF(OR(H534="Severe",H534="Life-Threatening"),"Yes","No")</f>
        <v>No</v>
      </c>
      <c r="M534" s="12" t="str">
        <f aca="false">IF(B534&lt;18,"0-17",IF(B534&lt;40,"18-39",IF(B534&lt;60,"40-59","60+")))</f>
        <v>18-39</v>
      </c>
      <c r="N534" s="12" t="str">
        <f aca="false">IF(I534&lt;=1,"0-1 days",IF(I534&lt;=7,"2-7 days",IF(I534&lt;=30,"8-30 days","&gt;30 days")))</f>
        <v>2-7 days</v>
      </c>
    </row>
    <row r="535" customFormat="false" ht="15" hidden="false" customHeight="false" outlineLevel="0" collapsed="false">
      <c r="A535" s="12" t="s">
        <v>775</v>
      </c>
      <c r="B535" s="12" t="n">
        <v>23</v>
      </c>
      <c r="C535" s="12" t="s">
        <v>34</v>
      </c>
      <c r="D535" s="12" t="s">
        <v>126</v>
      </c>
      <c r="E535" s="12" t="s">
        <v>229</v>
      </c>
      <c r="F535" s="12" t="s">
        <v>75</v>
      </c>
      <c r="G535" s="12" t="s">
        <v>58</v>
      </c>
      <c r="H535" s="12" t="s">
        <v>59</v>
      </c>
      <c r="I535" s="12" t="n">
        <v>1</v>
      </c>
      <c r="J535" s="12" t="s">
        <v>169</v>
      </c>
      <c r="K535" s="12" t="s">
        <v>48</v>
      </c>
      <c r="L535" s="12" t="str">
        <f aca="false">IF(OR(H535="Severe",H535="Life-Threatening"),"Yes","No")</f>
        <v>Yes</v>
      </c>
      <c r="M535" s="12" t="str">
        <f aca="false">IF(B535&lt;18,"0-17",IF(B535&lt;40,"18-39",IF(B535&lt;60,"40-59","60+")))</f>
        <v>18-39</v>
      </c>
      <c r="N535" s="12" t="str">
        <f aca="false">IF(I535&lt;=1,"0-1 days",IF(I535&lt;=7,"2-7 days",IF(I535&lt;=30,"8-30 days","&gt;30 days")))</f>
        <v>0-1 days</v>
      </c>
    </row>
    <row r="536" customFormat="false" ht="15" hidden="false" customHeight="false" outlineLevel="0" collapsed="false">
      <c r="A536" s="12" t="s">
        <v>776</v>
      </c>
      <c r="B536" s="12" t="n">
        <v>39</v>
      </c>
      <c r="C536" s="12" t="s">
        <v>34</v>
      </c>
      <c r="D536" s="12" t="s">
        <v>50</v>
      </c>
      <c r="E536" s="12" t="s">
        <v>412</v>
      </c>
      <c r="F536" s="12" t="s">
        <v>214</v>
      </c>
      <c r="G536" s="12" t="s">
        <v>115</v>
      </c>
      <c r="H536" s="12" t="s">
        <v>46</v>
      </c>
      <c r="I536" s="12" t="n">
        <v>30</v>
      </c>
      <c r="J536" s="12" t="s">
        <v>40</v>
      </c>
      <c r="K536" s="12" t="s">
        <v>48</v>
      </c>
      <c r="L536" s="12" t="str">
        <f aca="false">IF(OR(H536="Severe",H536="Life-Threatening"),"Yes","No")</f>
        <v>No</v>
      </c>
      <c r="M536" s="12" t="str">
        <f aca="false">IF(B536&lt;18,"0-17",IF(B536&lt;40,"18-39",IF(B536&lt;60,"40-59","60+")))</f>
        <v>18-39</v>
      </c>
      <c r="N536" s="12" t="str">
        <f aca="false">IF(I536&lt;=1,"0-1 days",IF(I536&lt;=7,"2-7 days",IF(I536&lt;=30,"8-30 days","&gt;30 days")))</f>
        <v>8-30 days</v>
      </c>
    </row>
    <row r="537" customFormat="false" ht="15" hidden="false" customHeight="false" outlineLevel="0" collapsed="false">
      <c r="A537" s="12" t="s">
        <v>777</v>
      </c>
      <c r="B537" s="12" t="n">
        <v>31</v>
      </c>
      <c r="C537" s="12" t="s">
        <v>34</v>
      </c>
      <c r="D537" s="12" t="s">
        <v>35</v>
      </c>
      <c r="E537" s="12" t="s">
        <v>110</v>
      </c>
      <c r="F537" s="12" t="s">
        <v>71</v>
      </c>
      <c r="G537" s="12" t="s">
        <v>72</v>
      </c>
      <c r="H537" s="12" t="s">
        <v>59</v>
      </c>
      <c r="I537" s="12" t="n">
        <v>0</v>
      </c>
      <c r="J537" s="12" t="s">
        <v>67</v>
      </c>
      <c r="K537" s="12" t="s">
        <v>63</v>
      </c>
      <c r="L537" s="12" t="str">
        <f aca="false">IF(OR(H537="Severe",H537="Life-Threatening"),"Yes","No")</f>
        <v>Yes</v>
      </c>
      <c r="M537" s="12" t="str">
        <f aca="false">IF(B537&lt;18,"0-17",IF(B537&lt;40,"18-39",IF(B537&lt;60,"40-59","60+")))</f>
        <v>18-39</v>
      </c>
      <c r="N537" s="12" t="str">
        <f aca="false">IF(I537&lt;=1,"0-1 days",IF(I537&lt;=7,"2-7 days",IF(I537&lt;=30,"8-30 days","&gt;30 days")))</f>
        <v>0-1 days</v>
      </c>
    </row>
    <row r="538" customFormat="false" ht="15" hidden="false" customHeight="false" outlineLevel="0" collapsed="false">
      <c r="A538" s="12" t="s">
        <v>778</v>
      </c>
      <c r="B538" s="12" t="n">
        <v>34</v>
      </c>
      <c r="C538" s="12" t="s">
        <v>43</v>
      </c>
      <c r="D538" s="12" t="s">
        <v>50</v>
      </c>
      <c r="E538" s="12" t="s">
        <v>188</v>
      </c>
      <c r="F538" s="12" t="s">
        <v>403</v>
      </c>
      <c r="G538" s="12" t="s">
        <v>80</v>
      </c>
      <c r="H538" s="12" t="s">
        <v>39</v>
      </c>
      <c r="I538" s="12" t="n">
        <v>14</v>
      </c>
      <c r="J538" s="12" t="s">
        <v>40</v>
      </c>
      <c r="K538" s="12" t="s">
        <v>147</v>
      </c>
      <c r="L538" s="12" t="str">
        <f aca="false">IF(OR(H538="Severe",H538="Life-Threatening"),"Yes","No")</f>
        <v>No</v>
      </c>
      <c r="M538" s="12" t="str">
        <f aca="false">IF(B538&lt;18,"0-17",IF(B538&lt;40,"18-39",IF(B538&lt;60,"40-59","60+")))</f>
        <v>18-39</v>
      </c>
      <c r="N538" s="12" t="str">
        <f aca="false">IF(I538&lt;=1,"0-1 days",IF(I538&lt;=7,"2-7 days",IF(I538&lt;=30,"8-30 days","&gt;30 days")))</f>
        <v>8-30 days</v>
      </c>
    </row>
    <row r="539" customFormat="false" ht="15" hidden="false" customHeight="false" outlineLevel="0" collapsed="false">
      <c r="A539" s="12" t="s">
        <v>779</v>
      </c>
      <c r="B539" s="12" t="n">
        <v>35</v>
      </c>
      <c r="C539" s="12" t="s">
        <v>34</v>
      </c>
      <c r="D539" s="12" t="s">
        <v>35</v>
      </c>
      <c r="E539" s="12" t="s">
        <v>225</v>
      </c>
      <c r="F539" s="12" t="s">
        <v>235</v>
      </c>
      <c r="G539" s="12" t="s">
        <v>53</v>
      </c>
      <c r="H539" s="12" t="s">
        <v>39</v>
      </c>
      <c r="I539" s="12" t="n">
        <v>29</v>
      </c>
      <c r="J539" s="12" t="s">
        <v>47</v>
      </c>
      <c r="K539" s="12" t="s">
        <v>48</v>
      </c>
      <c r="L539" s="12" t="str">
        <f aca="false">IF(OR(H539="Severe",H539="Life-Threatening"),"Yes","No")</f>
        <v>No</v>
      </c>
      <c r="M539" s="12" t="str">
        <f aca="false">IF(B539&lt;18,"0-17",IF(B539&lt;40,"18-39",IF(B539&lt;60,"40-59","60+")))</f>
        <v>18-39</v>
      </c>
      <c r="N539" s="12" t="str">
        <f aca="false">IF(I539&lt;=1,"0-1 days",IF(I539&lt;=7,"2-7 days",IF(I539&lt;=30,"8-30 days","&gt;30 days")))</f>
        <v>8-30 days</v>
      </c>
    </row>
    <row r="540" customFormat="false" ht="15" hidden="false" customHeight="false" outlineLevel="0" collapsed="false">
      <c r="A540" s="12" t="s">
        <v>780</v>
      </c>
      <c r="B540" s="12" t="n">
        <v>69</v>
      </c>
      <c r="C540" s="12" t="s">
        <v>43</v>
      </c>
      <c r="D540" s="12" t="s">
        <v>35</v>
      </c>
      <c r="E540" s="12" t="s">
        <v>44</v>
      </c>
      <c r="F540" s="12" t="s">
        <v>45</v>
      </c>
      <c r="G540" s="12" t="s">
        <v>38</v>
      </c>
      <c r="H540" s="12" t="s">
        <v>39</v>
      </c>
      <c r="I540" s="12" t="n">
        <v>17</v>
      </c>
      <c r="J540" s="12" t="s">
        <v>40</v>
      </c>
      <c r="K540" s="12" t="s">
        <v>48</v>
      </c>
      <c r="L540" s="12" t="str">
        <f aca="false">IF(OR(H540="Severe",H540="Life-Threatening"),"Yes","No")</f>
        <v>No</v>
      </c>
      <c r="M540" s="12" t="str">
        <f aca="false">IF(B540&lt;18,"0-17",IF(B540&lt;40,"18-39",IF(B540&lt;60,"40-59","60+")))</f>
        <v>60+</v>
      </c>
      <c r="N540" s="12" t="str">
        <f aca="false">IF(I540&lt;=1,"0-1 days",IF(I540&lt;=7,"2-7 days",IF(I540&lt;=30,"8-30 days","&gt;30 days")))</f>
        <v>8-30 days</v>
      </c>
    </row>
    <row r="541" customFormat="false" ht="15" hidden="false" customHeight="false" outlineLevel="0" collapsed="false">
      <c r="A541" s="12" t="s">
        <v>781</v>
      </c>
      <c r="B541" s="12" t="n">
        <v>41</v>
      </c>
      <c r="C541" s="12" t="s">
        <v>43</v>
      </c>
      <c r="D541" s="12" t="s">
        <v>99</v>
      </c>
      <c r="E541" s="12" t="s">
        <v>241</v>
      </c>
      <c r="F541" s="12" t="s">
        <v>333</v>
      </c>
      <c r="G541" s="12" t="s">
        <v>104</v>
      </c>
      <c r="H541" s="12" t="s">
        <v>39</v>
      </c>
      <c r="I541" s="12" t="n">
        <v>7</v>
      </c>
      <c r="J541" s="12" t="s">
        <v>169</v>
      </c>
      <c r="K541" s="12" t="s">
        <v>63</v>
      </c>
      <c r="L541" s="12" t="str">
        <f aca="false">IF(OR(H541="Severe",H541="Life-Threatening"),"Yes","No")</f>
        <v>No</v>
      </c>
      <c r="M541" s="12" t="str">
        <f aca="false">IF(B541&lt;18,"0-17",IF(B541&lt;40,"18-39",IF(B541&lt;60,"40-59","60+")))</f>
        <v>40-59</v>
      </c>
      <c r="N541" s="12" t="str">
        <f aca="false">IF(I541&lt;=1,"0-1 days",IF(I541&lt;=7,"2-7 days",IF(I541&lt;=30,"8-30 days","&gt;30 days")))</f>
        <v>2-7 days</v>
      </c>
    </row>
    <row r="542" customFormat="false" ht="15" hidden="false" customHeight="false" outlineLevel="0" collapsed="false">
      <c r="A542" s="12" t="s">
        <v>782</v>
      </c>
      <c r="B542" s="12" t="n">
        <v>14</v>
      </c>
      <c r="C542" s="12" t="s">
        <v>34</v>
      </c>
      <c r="D542" s="12" t="s">
        <v>55</v>
      </c>
      <c r="E542" s="12" t="s">
        <v>70</v>
      </c>
      <c r="F542" s="12" t="s">
        <v>108</v>
      </c>
      <c r="G542" s="12" t="s">
        <v>38</v>
      </c>
      <c r="H542" s="12" t="s">
        <v>39</v>
      </c>
      <c r="I542" s="12" t="n">
        <v>20</v>
      </c>
      <c r="J542" s="12" t="s">
        <v>40</v>
      </c>
      <c r="K542" s="12" t="s">
        <v>48</v>
      </c>
      <c r="L542" s="12" t="str">
        <f aca="false">IF(OR(H542="Severe",H542="Life-Threatening"),"Yes","No")</f>
        <v>No</v>
      </c>
      <c r="M542" s="12" t="str">
        <f aca="false">IF(B542&lt;18,"0-17",IF(B542&lt;40,"18-39",IF(B542&lt;60,"40-59","60+")))</f>
        <v>0-17</v>
      </c>
      <c r="N542" s="12" t="str">
        <f aca="false">IF(I542&lt;=1,"0-1 days",IF(I542&lt;=7,"2-7 days",IF(I542&lt;=30,"8-30 days","&gt;30 days")))</f>
        <v>8-30 days</v>
      </c>
    </row>
    <row r="543" customFormat="false" ht="15" hidden="false" customHeight="false" outlineLevel="0" collapsed="false">
      <c r="A543" s="12" t="s">
        <v>783</v>
      </c>
      <c r="B543" s="12" t="n">
        <v>6</v>
      </c>
      <c r="C543" s="12" t="s">
        <v>34</v>
      </c>
      <c r="D543" s="12" t="s">
        <v>35</v>
      </c>
      <c r="E543" s="12" t="s">
        <v>225</v>
      </c>
      <c r="F543" s="12" t="s">
        <v>235</v>
      </c>
      <c r="G543" s="12" t="s">
        <v>53</v>
      </c>
      <c r="H543" s="12" t="s">
        <v>46</v>
      </c>
      <c r="I543" s="12" t="n">
        <v>29</v>
      </c>
      <c r="J543" s="12" t="s">
        <v>40</v>
      </c>
      <c r="K543" s="12" t="s">
        <v>63</v>
      </c>
      <c r="L543" s="12" t="str">
        <f aca="false">IF(OR(H543="Severe",H543="Life-Threatening"),"Yes","No")</f>
        <v>No</v>
      </c>
      <c r="M543" s="12" t="str">
        <f aca="false">IF(B543&lt;18,"0-17",IF(B543&lt;40,"18-39",IF(B543&lt;60,"40-59","60+")))</f>
        <v>0-17</v>
      </c>
      <c r="N543" s="12" t="str">
        <f aca="false">IF(I543&lt;=1,"0-1 days",IF(I543&lt;=7,"2-7 days",IF(I543&lt;=30,"8-30 days","&gt;30 days")))</f>
        <v>8-30 days</v>
      </c>
    </row>
    <row r="544" customFormat="false" ht="15" hidden="false" customHeight="false" outlineLevel="0" collapsed="false">
      <c r="A544" s="12" t="s">
        <v>784</v>
      </c>
      <c r="B544" s="12" t="n">
        <v>35</v>
      </c>
      <c r="C544" s="12" t="s">
        <v>43</v>
      </c>
      <c r="D544" s="12" t="s">
        <v>231</v>
      </c>
      <c r="E544" s="12" t="s">
        <v>243</v>
      </c>
      <c r="F544" s="12" t="s">
        <v>139</v>
      </c>
      <c r="G544" s="12" t="s">
        <v>38</v>
      </c>
      <c r="H544" s="12" t="s">
        <v>39</v>
      </c>
      <c r="I544" s="12" t="n">
        <v>24</v>
      </c>
      <c r="J544" s="12" t="s">
        <v>67</v>
      </c>
      <c r="K544" s="12" t="s">
        <v>147</v>
      </c>
      <c r="L544" s="12" t="str">
        <f aca="false">IF(OR(H544="Severe",H544="Life-Threatening"),"Yes","No")</f>
        <v>No</v>
      </c>
      <c r="M544" s="12" t="str">
        <f aca="false">IF(B544&lt;18,"0-17",IF(B544&lt;40,"18-39",IF(B544&lt;60,"40-59","60+")))</f>
        <v>18-39</v>
      </c>
      <c r="N544" s="12" t="str">
        <f aca="false">IF(I544&lt;=1,"0-1 days",IF(I544&lt;=7,"2-7 days",IF(I544&lt;=30,"8-30 days","&gt;30 days")))</f>
        <v>8-30 days</v>
      </c>
    </row>
    <row r="545" customFormat="false" ht="15" hidden="false" customHeight="false" outlineLevel="0" collapsed="false">
      <c r="A545" s="12" t="s">
        <v>785</v>
      </c>
      <c r="B545" s="12" t="n">
        <v>50</v>
      </c>
      <c r="C545" s="12" t="s">
        <v>34</v>
      </c>
      <c r="D545" s="12" t="s">
        <v>168</v>
      </c>
      <c r="E545" s="12" t="s">
        <v>74</v>
      </c>
      <c r="F545" s="12" t="s">
        <v>139</v>
      </c>
      <c r="G545" s="12" t="s">
        <v>38</v>
      </c>
      <c r="H545" s="12" t="s">
        <v>46</v>
      </c>
      <c r="I545" s="12" t="n">
        <v>6</v>
      </c>
      <c r="J545" s="12" t="s">
        <v>40</v>
      </c>
      <c r="K545" s="12" t="s">
        <v>63</v>
      </c>
      <c r="L545" s="12" t="str">
        <f aca="false">IF(OR(H545="Severe",H545="Life-Threatening"),"Yes","No")</f>
        <v>No</v>
      </c>
      <c r="M545" s="12" t="str">
        <f aca="false">IF(B545&lt;18,"0-17",IF(B545&lt;40,"18-39",IF(B545&lt;60,"40-59","60+")))</f>
        <v>40-59</v>
      </c>
      <c r="N545" s="12" t="str">
        <f aca="false">IF(I545&lt;=1,"0-1 days",IF(I545&lt;=7,"2-7 days",IF(I545&lt;=30,"8-30 days","&gt;30 days")))</f>
        <v>2-7 days</v>
      </c>
    </row>
    <row r="546" customFormat="false" ht="15" hidden="false" customHeight="false" outlineLevel="0" collapsed="false">
      <c r="A546" s="12" t="s">
        <v>786</v>
      </c>
      <c r="B546" s="12" t="n">
        <v>81</v>
      </c>
      <c r="C546" s="12" t="s">
        <v>43</v>
      </c>
      <c r="D546" s="12" t="s">
        <v>50</v>
      </c>
      <c r="E546" s="12" t="s">
        <v>138</v>
      </c>
      <c r="F546" s="12" t="s">
        <v>139</v>
      </c>
      <c r="G546" s="12" t="s">
        <v>38</v>
      </c>
      <c r="H546" s="12" t="s">
        <v>76</v>
      </c>
      <c r="I546" s="12" t="n">
        <v>22</v>
      </c>
      <c r="J546" s="12" t="s">
        <v>67</v>
      </c>
      <c r="K546" s="12" t="s">
        <v>48</v>
      </c>
      <c r="L546" s="12" t="str">
        <f aca="false">IF(OR(H546="Severe",H546="Life-Threatening"),"Yes","No")</f>
        <v>Yes</v>
      </c>
      <c r="M546" s="12" t="str">
        <f aca="false">IF(B546&lt;18,"0-17",IF(B546&lt;40,"18-39",IF(B546&lt;60,"40-59","60+")))</f>
        <v>60+</v>
      </c>
      <c r="N546" s="12" t="str">
        <f aca="false">IF(I546&lt;=1,"0-1 days",IF(I546&lt;=7,"2-7 days",IF(I546&lt;=30,"8-30 days","&gt;30 days")))</f>
        <v>8-30 days</v>
      </c>
    </row>
    <row r="547" customFormat="false" ht="15" hidden="false" customHeight="false" outlineLevel="0" collapsed="false">
      <c r="A547" s="12" t="s">
        <v>787</v>
      </c>
      <c r="B547" s="12" t="n">
        <v>49</v>
      </c>
      <c r="C547" s="12" t="s">
        <v>34</v>
      </c>
      <c r="D547" s="12" t="s">
        <v>69</v>
      </c>
      <c r="E547" s="12" t="s">
        <v>36</v>
      </c>
      <c r="F547" s="12" t="s">
        <v>37</v>
      </c>
      <c r="G547" s="12" t="s">
        <v>38</v>
      </c>
      <c r="H547" s="12" t="s">
        <v>46</v>
      </c>
      <c r="I547" s="12" t="n">
        <v>8</v>
      </c>
      <c r="J547" s="12" t="s">
        <v>40</v>
      </c>
      <c r="K547" s="12" t="s">
        <v>48</v>
      </c>
      <c r="L547" s="12" t="str">
        <f aca="false">IF(OR(H547="Severe",H547="Life-Threatening"),"Yes","No")</f>
        <v>No</v>
      </c>
      <c r="M547" s="12" t="str">
        <f aca="false">IF(B547&lt;18,"0-17",IF(B547&lt;40,"18-39",IF(B547&lt;60,"40-59","60+")))</f>
        <v>40-59</v>
      </c>
      <c r="N547" s="12" t="str">
        <f aca="false">IF(I547&lt;=1,"0-1 days",IF(I547&lt;=7,"2-7 days",IF(I547&lt;=30,"8-30 days","&gt;30 days")))</f>
        <v>8-30 days</v>
      </c>
    </row>
    <row r="548" customFormat="false" ht="15" hidden="false" customHeight="false" outlineLevel="0" collapsed="false">
      <c r="A548" s="12" t="s">
        <v>788</v>
      </c>
      <c r="B548" s="12" t="n">
        <v>36</v>
      </c>
      <c r="C548" s="12" t="s">
        <v>43</v>
      </c>
      <c r="D548" s="12" t="s">
        <v>234</v>
      </c>
      <c r="E548" s="12" t="s">
        <v>56</v>
      </c>
      <c r="F548" s="12" t="s">
        <v>57</v>
      </c>
      <c r="G548" s="12" t="s">
        <v>58</v>
      </c>
      <c r="H548" s="12" t="s">
        <v>46</v>
      </c>
      <c r="I548" s="12" t="n">
        <v>0</v>
      </c>
      <c r="J548" s="12" t="s">
        <v>47</v>
      </c>
      <c r="K548" s="12" t="s">
        <v>48</v>
      </c>
      <c r="L548" s="12" t="str">
        <f aca="false">IF(OR(H548="Severe",H548="Life-Threatening"),"Yes","No")</f>
        <v>No</v>
      </c>
      <c r="M548" s="12" t="str">
        <f aca="false">IF(B548&lt;18,"0-17",IF(B548&lt;40,"18-39",IF(B548&lt;60,"40-59","60+")))</f>
        <v>18-39</v>
      </c>
      <c r="N548" s="12" t="str">
        <f aca="false">IF(I548&lt;=1,"0-1 days",IF(I548&lt;=7,"2-7 days",IF(I548&lt;=30,"8-30 days","&gt;30 days")))</f>
        <v>0-1 days</v>
      </c>
    </row>
    <row r="549" customFormat="false" ht="15" hidden="false" customHeight="false" outlineLevel="0" collapsed="false">
      <c r="A549" s="12" t="s">
        <v>789</v>
      </c>
      <c r="B549" s="12" t="n">
        <v>42</v>
      </c>
      <c r="C549" s="12" t="s">
        <v>43</v>
      </c>
      <c r="D549" s="12" t="s">
        <v>88</v>
      </c>
      <c r="E549" s="12" t="s">
        <v>89</v>
      </c>
      <c r="F549" s="12" t="s">
        <v>37</v>
      </c>
      <c r="G549" s="12" t="s">
        <v>38</v>
      </c>
      <c r="H549" s="12" t="s">
        <v>46</v>
      </c>
      <c r="I549" s="12" t="n">
        <v>23</v>
      </c>
      <c r="J549" s="12" t="s">
        <v>40</v>
      </c>
      <c r="K549" s="12" t="s">
        <v>147</v>
      </c>
      <c r="L549" s="12" t="str">
        <f aca="false">IF(OR(H549="Severe",H549="Life-Threatening"),"Yes","No")</f>
        <v>No</v>
      </c>
      <c r="M549" s="12" t="str">
        <f aca="false">IF(B549&lt;18,"0-17",IF(B549&lt;40,"18-39",IF(B549&lt;60,"40-59","60+")))</f>
        <v>40-59</v>
      </c>
      <c r="N549" s="12" t="str">
        <f aca="false">IF(I549&lt;=1,"0-1 days",IF(I549&lt;=7,"2-7 days",IF(I549&lt;=30,"8-30 days","&gt;30 days")))</f>
        <v>8-30 days</v>
      </c>
    </row>
    <row r="550" customFormat="false" ht="15" hidden="false" customHeight="false" outlineLevel="0" collapsed="false">
      <c r="A550" s="12" t="s">
        <v>790</v>
      </c>
      <c r="B550" s="12" t="n">
        <v>44</v>
      </c>
      <c r="C550" s="12" t="s">
        <v>43</v>
      </c>
      <c r="D550" s="12" t="s">
        <v>35</v>
      </c>
      <c r="E550" s="12" t="s">
        <v>266</v>
      </c>
      <c r="F550" s="12" t="s">
        <v>214</v>
      </c>
      <c r="G550" s="12" t="s">
        <v>115</v>
      </c>
      <c r="H550" s="12" t="s">
        <v>39</v>
      </c>
      <c r="I550" s="12" t="n">
        <v>3</v>
      </c>
      <c r="J550" s="12" t="s">
        <v>169</v>
      </c>
      <c r="K550" s="12" t="s">
        <v>41</v>
      </c>
      <c r="L550" s="12" t="str">
        <f aca="false">IF(OR(H550="Severe",H550="Life-Threatening"),"Yes","No")</f>
        <v>No</v>
      </c>
      <c r="M550" s="12" t="str">
        <f aca="false">IF(B550&lt;18,"0-17",IF(B550&lt;40,"18-39",IF(B550&lt;60,"40-59","60+")))</f>
        <v>40-59</v>
      </c>
      <c r="N550" s="12" t="str">
        <f aca="false">IF(I550&lt;=1,"0-1 days",IF(I550&lt;=7,"2-7 days",IF(I550&lt;=30,"8-30 days","&gt;30 days")))</f>
        <v>2-7 days</v>
      </c>
    </row>
    <row r="551" customFormat="false" ht="15" hidden="false" customHeight="false" outlineLevel="0" collapsed="false">
      <c r="A551" s="12" t="s">
        <v>791</v>
      </c>
      <c r="B551" s="12" t="n">
        <v>58</v>
      </c>
      <c r="C551" s="12" t="s">
        <v>34</v>
      </c>
      <c r="D551" s="12" t="s">
        <v>194</v>
      </c>
      <c r="E551" s="12" t="s">
        <v>315</v>
      </c>
      <c r="F551" s="12" t="s">
        <v>176</v>
      </c>
      <c r="G551" s="12" t="s">
        <v>177</v>
      </c>
      <c r="H551" s="12" t="s">
        <v>59</v>
      </c>
      <c r="I551" s="12" t="n">
        <v>6</v>
      </c>
      <c r="J551" s="12" t="s">
        <v>67</v>
      </c>
      <c r="K551" s="12" t="s">
        <v>48</v>
      </c>
      <c r="L551" s="12" t="str">
        <f aca="false">IF(OR(H551="Severe",H551="Life-Threatening"),"Yes","No")</f>
        <v>Yes</v>
      </c>
      <c r="M551" s="12" t="str">
        <f aca="false">IF(B551&lt;18,"0-17",IF(B551&lt;40,"18-39",IF(B551&lt;60,"40-59","60+")))</f>
        <v>40-59</v>
      </c>
      <c r="N551" s="12" t="str">
        <f aca="false">IF(I551&lt;=1,"0-1 days",IF(I551&lt;=7,"2-7 days",IF(I551&lt;=30,"8-30 days","&gt;30 days")))</f>
        <v>2-7 days</v>
      </c>
    </row>
    <row r="552" customFormat="false" ht="15" hidden="false" customHeight="false" outlineLevel="0" collapsed="false">
      <c r="A552" s="12" t="s">
        <v>792</v>
      </c>
      <c r="B552" s="12" t="n">
        <v>67</v>
      </c>
      <c r="C552" s="12" t="s">
        <v>43</v>
      </c>
      <c r="D552" s="12" t="s">
        <v>117</v>
      </c>
      <c r="E552" s="12" t="s">
        <v>188</v>
      </c>
      <c r="F552" s="12" t="s">
        <v>403</v>
      </c>
      <c r="G552" s="12" t="s">
        <v>80</v>
      </c>
      <c r="H552" s="12" t="s">
        <v>39</v>
      </c>
      <c r="I552" s="12" t="n">
        <v>13</v>
      </c>
      <c r="J552" s="12" t="s">
        <v>47</v>
      </c>
      <c r="K552" s="12" t="s">
        <v>41</v>
      </c>
      <c r="L552" s="12" t="str">
        <f aca="false">IF(OR(H552="Severe",H552="Life-Threatening"),"Yes","No")</f>
        <v>No</v>
      </c>
      <c r="M552" s="12" t="str">
        <f aca="false">IF(B552&lt;18,"0-17",IF(B552&lt;40,"18-39",IF(B552&lt;60,"40-59","60+")))</f>
        <v>60+</v>
      </c>
      <c r="N552" s="12" t="str">
        <f aca="false">IF(I552&lt;=1,"0-1 days",IF(I552&lt;=7,"2-7 days",IF(I552&lt;=30,"8-30 days","&gt;30 days")))</f>
        <v>8-30 days</v>
      </c>
    </row>
    <row r="553" customFormat="false" ht="15" hidden="false" customHeight="false" outlineLevel="0" collapsed="false">
      <c r="A553" s="12" t="s">
        <v>793</v>
      </c>
      <c r="B553" s="12" t="n">
        <v>36</v>
      </c>
      <c r="C553" s="12" t="s">
        <v>43</v>
      </c>
      <c r="D553" s="12" t="s">
        <v>168</v>
      </c>
      <c r="E553" s="12" t="s">
        <v>179</v>
      </c>
      <c r="F553" s="12" t="s">
        <v>284</v>
      </c>
      <c r="G553" s="12" t="s">
        <v>136</v>
      </c>
      <c r="H553" s="12" t="s">
        <v>59</v>
      </c>
      <c r="I553" s="12" t="n">
        <v>34</v>
      </c>
      <c r="J553" s="12" t="s">
        <v>105</v>
      </c>
      <c r="K553" s="12" t="s">
        <v>48</v>
      </c>
      <c r="L553" s="12" t="str">
        <f aca="false">IF(OR(H553="Severe",H553="Life-Threatening"),"Yes","No")</f>
        <v>Yes</v>
      </c>
      <c r="M553" s="12" t="str">
        <f aca="false">IF(B553&lt;18,"0-17",IF(B553&lt;40,"18-39",IF(B553&lt;60,"40-59","60+")))</f>
        <v>18-39</v>
      </c>
      <c r="N553" s="12" t="str">
        <f aca="false">IF(I553&lt;=1,"0-1 days",IF(I553&lt;=7,"2-7 days",IF(I553&lt;=30,"8-30 days","&gt;30 days")))</f>
        <v>&gt;30 days</v>
      </c>
    </row>
    <row r="554" customFormat="false" ht="15" hidden="false" customHeight="false" outlineLevel="0" collapsed="false">
      <c r="A554" s="12" t="s">
        <v>794</v>
      </c>
      <c r="B554" s="12" t="n">
        <v>29</v>
      </c>
      <c r="C554" s="12" t="s">
        <v>34</v>
      </c>
      <c r="D554" s="12" t="s">
        <v>91</v>
      </c>
      <c r="E554" s="12" t="s">
        <v>121</v>
      </c>
      <c r="F554" s="12" t="s">
        <v>45</v>
      </c>
      <c r="G554" s="12" t="s">
        <v>38</v>
      </c>
      <c r="H554" s="12" t="s">
        <v>46</v>
      </c>
      <c r="I554" s="12" t="n">
        <v>15</v>
      </c>
      <c r="J554" s="12" t="s">
        <v>47</v>
      </c>
      <c r="K554" s="12" t="s">
        <v>63</v>
      </c>
      <c r="L554" s="12" t="str">
        <f aca="false">IF(OR(H554="Severe",H554="Life-Threatening"),"Yes","No")</f>
        <v>No</v>
      </c>
      <c r="M554" s="12" t="str">
        <f aca="false">IF(B554&lt;18,"0-17",IF(B554&lt;40,"18-39",IF(B554&lt;60,"40-59","60+")))</f>
        <v>18-39</v>
      </c>
      <c r="N554" s="12" t="str">
        <f aca="false">IF(I554&lt;=1,"0-1 days",IF(I554&lt;=7,"2-7 days",IF(I554&lt;=30,"8-30 days","&gt;30 days")))</f>
        <v>8-30 days</v>
      </c>
    </row>
    <row r="555" customFormat="false" ht="15" hidden="false" customHeight="false" outlineLevel="0" collapsed="false">
      <c r="A555" s="12" t="s">
        <v>795</v>
      </c>
      <c r="B555" s="12" t="n">
        <v>59</v>
      </c>
      <c r="C555" s="12" t="s">
        <v>43</v>
      </c>
      <c r="D555" s="12" t="s">
        <v>50</v>
      </c>
      <c r="E555" s="12" t="s">
        <v>301</v>
      </c>
      <c r="F555" s="12" t="s">
        <v>103</v>
      </c>
      <c r="G555" s="12" t="s">
        <v>104</v>
      </c>
      <c r="H555" s="12" t="s">
        <v>59</v>
      </c>
      <c r="I555" s="12" t="n">
        <v>21</v>
      </c>
      <c r="J555" s="12" t="s">
        <v>105</v>
      </c>
      <c r="K555" s="12" t="s">
        <v>48</v>
      </c>
      <c r="L555" s="12" t="str">
        <f aca="false">IF(OR(H555="Severe",H555="Life-Threatening"),"Yes","No")</f>
        <v>Yes</v>
      </c>
      <c r="M555" s="12" t="str">
        <f aca="false">IF(B555&lt;18,"0-17",IF(B555&lt;40,"18-39",IF(B555&lt;60,"40-59","60+")))</f>
        <v>40-59</v>
      </c>
      <c r="N555" s="12" t="str">
        <f aca="false">IF(I555&lt;=1,"0-1 days",IF(I555&lt;=7,"2-7 days",IF(I555&lt;=30,"8-30 days","&gt;30 days")))</f>
        <v>8-30 days</v>
      </c>
    </row>
    <row r="556" customFormat="false" ht="15" hidden="false" customHeight="false" outlineLevel="0" collapsed="false">
      <c r="A556" s="12" t="s">
        <v>796</v>
      </c>
      <c r="B556" s="12" t="n">
        <v>40</v>
      </c>
      <c r="C556" s="12" t="s">
        <v>43</v>
      </c>
      <c r="D556" s="12" t="s">
        <v>168</v>
      </c>
      <c r="E556" s="12" t="s">
        <v>74</v>
      </c>
      <c r="F556" s="12" t="s">
        <v>139</v>
      </c>
      <c r="G556" s="12" t="s">
        <v>38</v>
      </c>
      <c r="H556" s="12" t="s">
        <v>39</v>
      </c>
      <c r="I556" s="12" t="n">
        <v>20</v>
      </c>
      <c r="J556" s="12" t="s">
        <v>40</v>
      </c>
      <c r="K556" s="12" t="s">
        <v>147</v>
      </c>
      <c r="L556" s="12" t="str">
        <f aca="false">IF(OR(H556="Severe",H556="Life-Threatening"),"Yes","No")</f>
        <v>No</v>
      </c>
      <c r="M556" s="12" t="str">
        <f aca="false">IF(B556&lt;18,"0-17",IF(B556&lt;40,"18-39",IF(B556&lt;60,"40-59","60+")))</f>
        <v>40-59</v>
      </c>
      <c r="N556" s="12" t="str">
        <f aca="false">IF(I556&lt;=1,"0-1 days",IF(I556&lt;=7,"2-7 days",IF(I556&lt;=30,"8-30 days","&gt;30 days")))</f>
        <v>8-30 days</v>
      </c>
    </row>
    <row r="557" customFormat="false" ht="15" hidden="false" customHeight="false" outlineLevel="0" collapsed="false">
      <c r="A557" s="12" t="s">
        <v>797</v>
      </c>
      <c r="B557" s="12" t="n">
        <v>52</v>
      </c>
      <c r="C557" s="12" t="s">
        <v>43</v>
      </c>
      <c r="D557" s="12" t="s">
        <v>35</v>
      </c>
      <c r="E557" s="12" t="s">
        <v>113</v>
      </c>
      <c r="F557" s="12" t="s">
        <v>114</v>
      </c>
      <c r="G557" s="12" t="s">
        <v>115</v>
      </c>
      <c r="H557" s="12" t="s">
        <v>76</v>
      </c>
      <c r="I557" s="12" t="n">
        <v>33</v>
      </c>
      <c r="J557" s="12" t="s">
        <v>169</v>
      </c>
      <c r="K557" s="12" t="s">
        <v>48</v>
      </c>
      <c r="L557" s="12" t="str">
        <f aca="false">IF(OR(H557="Severe",H557="Life-Threatening"),"Yes","No")</f>
        <v>Yes</v>
      </c>
      <c r="M557" s="12" t="str">
        <f aca="false">IF(B557&lt;18,"0-17",IF(B557&lt;40,"18-39",IF(B557&lt;60,"40-59","60+")))</f>
        <v>40-59</v>
      </c>
      <c r="N557" s="12" t="str">
        <f aca="false">IF(I557&lt;=1,"0-1 days",IF(I557&lt;=7,"2-7 days",IF(I557&lt;=30,"8-30 days","&gt;30 days")))</f>
        <v>&gt;30 days</v>
      </c>
    </row>
    <row r="558" customFormat="false" ht="15" hidden="false" customHeight="false" outlineLevel="0" collapsed="false">
      <c r="A558" s="12" t="s">
        <v>798</v>
      </c>
      <c r="B558" s="12" t="n">
        <v>25</v>
      </c>
      <c r="C558" s="12" t="s">
        <v>34</v>
      </c>
      <c r="D558" s="12" t="s">
        <v>88</v>
      </c>
      <c r="E558" s="12" t="s">
        <v>311</v>
      </c>
      <c r="F558" s="12" t="s">
        <v>249</v>
      </c>
      <c r="G558" s="12" t="s">
        <v>152</v>
      </c>
      <c r="H558" s="12" t="s">
        <v>76</v>
      </c>
      <c r="I558" s="12" t="n">
        <v>14</v>
      </c>
      <c r="J558" s="12" t="s">
        <v>169</v>
      </c>
      <c r="K558" s="12" t="s">
        <v>63</v>
      </c>
      <c r="L558" s="12" t="str">
        <f aca="false">IF(OR(H558="Severe",H558="Life-Threatening"),"Yes","No")</f>
        <v>Yes</v>
      </c>
      <c r="M558" s="12" t="str">
        <f aca="false">IF(B558&lt;18,"0-17",IF(B558&lt;40,"18-39",IF(B558&lt;60,"40-59","60+")))</f>
        <v>18-39</v>
      </c>
      <c r="N558" s="12" t="str">
        <f aca="false">IF(I558&lt;=1,"0-1 days",IF(I558&lt;=7,"2-7 days",IF(I558&lt;=30,"8-30 days","&gt;30 days")))</f>
        <v>8-30 days</v>
      </c>
    </row>
    <row r="559" customFormat="false" ht="15" hidden="false" customHeight="false" outlineLevel="0" collapsed="false">
      <c r="A559" s="12" t="s">
        <v>799</v>
      </c>
      <c r="B559" s="12" t="n">
        <v>47</v>
      </c>
      <c r="C559" s="12" t="s">
        <v>43</v>
      </c>
      <c r="D559" s="12" t="s">
        <v>211</v>
      </c>
      <c r="E559" s="12" t="s">
        <v>386</v>
      </c>
      <c r="F559" s="12" t="s">
        <v>114</v>
      </c>
      <c r="G559" s="12" t="s">
        <v>115</v>
      </c>
      <c r="H559" s="12" t="s">
        <v>59</v>
      </c>
      <c r="I559" s="12" t="n">
        <v>27</v>
      </c>
      <c r="J559" s="12" t="s">
        <v>105</v>
      </c>
      <c r="K559" s="12" t="s">
        <v>48</v>
      </c>
      <c r="L559" s="12" t="str">
        <f aca="false">IF(OR(H559="Severe",H559="Life-Threatening"),"Yes","No")</f>
        <v>Yes</v>
      </c>
      <c r="M559" s="12" t="str">
        <f aca="false">IF(B559&lt;18,"0-17",IF(B559&lt;40,"18-39",IF(B559&lt;60,"40-59","60+")))</f>
        <v>40-59</v>
      </c>
      <c r="N559" s="12" t="str">
        <f aca="false">IF(I559&lt;=1,"0-1 days",IF(I559&lt;=7,"2-7 days",IF(I559&lt;=30,"8-30 days","&gt;30 days")))</f>
        <v>8-30 days</v>
      </c>
    </row>
    <row r="560" customFormat="false" ht="15" hidden="false" customHeight="false" outlineLevel="0" collapsed="false">
      <c r="A560" s="12" t="s">
        <v>800</v>
      </c>
      <c r="B560" s="12" t="n">
        <v>51</v>
      </c>
      <c r="C560" s="12" t="s">
        <v>34</v>
      </c>
      <c r="D560" s="12" t="s">
        <v>69</v>
      </c>
      <c r="E560" s="12" t="s">
        <v>374</v>
      </c>
      <c r="F560" s="12" t="s">
        <v>235</v>
      </c>
      <c r="G560" s="12" t="s">
        <v>53</v>
      </c>
      <c r="H560" s="12" t="s">
        <v>39</v>
      </c>
      <c r="I560" s="12" t="n">
        <v>20</v>
      </c>
      <c r="J560" s="12" t="s">
        <v>47</v>
      </c>
      <c r="K560" s="12" t="s">
        <v>63</v>
      </c>
      <c r="L560" s="12" t="str">
        <f aca="false">IF(OR(H560="Severe",H560="Life-Threatening"),"Yes","No")</f>
        <v>No</v>
      </c>
      <c r="M560" s="12" t="str">
        <f aca="false">IF(B560&lt;18,"0-17",IF(B560&lt;40,"18-39",IF(B560&lt;60,"40-59","60+")))</f>
        <v>40-59</v>
      </c>
      <c r="N560" s="12" t="str">
        <f aca="false">IF(I560&lt;=1,"0-1 days",IF(I560&lt;=7,"2-7 days",IF(I560&lt;=30,"8-30 days","&gt;30 days")))</f>
        <v>8-30 days</v>
      </c>
    </row>
    <row r="561" customFormat="false" ht="15" hidden="false" customHeight="false" outlineLevel="0" collapsed="false">
      <c r="A561" s="12" t="s">
        <v>801</v>
      </c>
      <c r="B561" s="12" t="n">
        <v>43</v>
      </c>
      <c r="C561" s="12" t="s">
        <v>43</v>
      </c>
      <c r="D561" s="12" t="s">
        <v>211</v>
      </c>
      <c r="E561" s="12" t="s">
        <v>307</v>
      </c>
      <c r="F561" s="12" t="s">
        <v>249</v>
      </c>
      <c r="G561" s="12" t="s">
        <v>152</v>
      </c>
      <c r="H561" s="12" t="s">
        <v>39</v>
      </c>
      <c r="I561" s="12" t="n">
        <v>28</v>
      </c>
      <c r="J561" s="12" t="s">
        <v>40</v>
      </c>
      <c r="K561" s="12" t="s">
        <v>63</v>
      </c>
      <c r="L561" s="12" t="str">
        <f aca="false">IF(OR(H561="Severe",H561="Life-Threatening"),"Yes","No")</f>
        <v>No</v>
      </c>
      <c r="M561" s="12" t="str">
        <f aca="false">IF(B561&lt;18,"0-17",IF(B561&lt;40,"18-39",IF(B561&lt;60,"40-59","60+")))</f>
        <v>40-59</v>
      </c>
      <c r="N561" s="12" t="str">
        <f aca="false">IF(I561&lt;=1,"0-1 days",IF(I561&lt;=7,"2-7 days",IF(I561&lt;=30,"8-30 days","&gt;30 days")))</f>
        <v>8-30 days</v>
      </c>
    </row>
    <row r="562" customFormat="false" ht="15" hidden="false" customHeight="false" outlineLevel="0" collapsed="false">
      <c r="A562" s="12" t="s">
        <v>802</v>
      </c>
      <c r="B562" s="12" t="n">
        <v>65</v>
      </c>
      <c r="C562" s="12" t="s">
        <v>34</v>
      </c>
      <c r="D562" s="12" t="s">
        <v>50</v>
      </c>
      <c r="E562" s="12" t="s">
        <v>374</v>
      </c>
      <c r="F562" s="12" t="s">
        <v>325</v>
      </c>
      <c r="G562" s="12" t="s">
        <v>177</v>
      </c>
      <c r="H562" s="12" t="s">
        <v>76</v>
      </c>
      <c r="I562" s="12" t="n">
        <v>5</v>
      </c>
      <c r="J562" s="12" t="s">
        <v>40</v>
      </c>
      <c r="K562" s="12" t="s">
        <v>48</v>
      </c>
      <c r="L562" s="12" t="str">
        <f aca="false">IF(OR(H562="Severe",H562="Life-Threatening"),"Yes","No")</f>
        <v>Yes</v>
      </c>
      <c r="M562" s="12" t="str">
        <f aca="false">IF(B562&lt;18,"0-17",IF(B562&lt;40,"18-39",IF(B562&lt;60,"40-59","60+")))</f>
        <v>60+</v>
      </c>
      <c r="N562" s="12" t="str">
        <f aca="false">IF(I562&lt;=1,"0-1 days",IF(I562&lt;=7,"2-7 days",IF(I562&lt;=30,"8-30 days","&gt;30 days")))</f>
        <v>2-7 days</v>
      </c>
    </row>
    <row r="563" customFormat="false" ht="15" hidden="false" customHeight="false" outlineLevel="0" collapsed="false">
      <c r="A563" s="12" t="s">
        <v>803</v>
      </c>
      <c r="B563" s="12" t="n">
        <v>73</v>
      </c>
      <c r="C563" s="12" t="s">
        <v>34</v>
      </c>
      <c r="D563" s="12" t="s">
        <v>99</v>
      </c>
      <c r="E563" s="12" t="s">
        <v>86</v>
      </c>
      <c r="F563" s="12" t="s">
        <v>45</v>
      </c>
      <c r="G563" s="12" t="s">
        <v>38</v>
      </c>
      <c r="H563" s="12" t="s">
        <v>39</v>
      </c>
      <c r="I563" s="12" t="n">
        <v>14</v>
      </c>
      <c r="J563" s="12" t="s">
        <v>47</v>
      </c>
      <c r="K563" s="12" t="s">
        <v>48</v>
      </c>
      <c r="L563" s="12" t="str">
        <f aca="false">IF(OR(H563="Severe",H563="Life-Threatening"),"Yes","No")</f>
        <v>No</v>
      </c>
      <c r="M563" s="12" t="str">
        <f aca="false">IF(B563&lt;18,"0-17",IF(B563&lt;40,"18-39",IF(B563&lt;60,"40-59","60+")))</f>
        <v>60+</v>
      </c>
      <c r="N563" s="12" t="str">
        <f aca="false">IF(I563&lt;=1,"0-1 days",IF(I563&lt;=7,"2-7 days",IF(I563&lt;=30,"8-30 days","&gt;30 days")))</f>
        <v>8-30 days</v>
      </c>
    </row>
    <row r="564" customFormat="false" ht="15" hidden="false" customHeight="false" outlineLevel="0" collapsed="false">
      <c r="A564" s="12" t="s">
        <v>804</v>
      </c>
      <c r="B564" s="12" t="n">
        <v>41</v>
      </c>
      <c r="C564" s="12" t="s">
        <v>34</v>
      </c>
      <c r="D564" s="12" t="s">
        <v>69</v>
      </c>
      <c r="E564" s="12" t="s">
        <v>241</v>
      </c>
      <c r="F564" s="12" t="s">
        <v>135</v>
      </c>
      <c r="G564" s="12" t="s">
        <v>136</v>
      </c>
      <c r="H564" s="12" t="s">
        <v>46</v>
      </c>
      <c r="I564" s="12" t="n">
        <v>26</v>
      </c>
      <c r="J564" s="12" t="s">
        <v>40</v>
      </c>
      <c r="K564" s="12" t="s">
        <v>63</v>
      </c>
      <c r="L564" s="12" t="str">
        <f aca="false">IF(OR(H564="Severe",H564="Life-Threatening"),"Yes","No")</f>
        <v>No</v>
      </c>
      <c r="M564" s="12" t="str">
        <f aca="false">IF(B564&lt;18,"0-17",IF(B564&lt;40,"18-39",IF(B564&lt;60,"40-59","60+")))</f>
        <v>40-59</v>
      </c>
      <c r="N564" s="12" t="str">
        <f aca="false">IF(I564&lt;=1,"0-1 days",IF(I564&lt;=7,"2-7 days",IF(I564&lt;=30,"8-30 days","&gt;30 days")))</f>
        <v>8-30 days</v>
      </c>
    </row>
    <row r="565" customFormat="false" ht="15" hidden="false" customHeight="false" outlineLevel="0" collapsed="false">
      <c r="A565" s="12" t="s">
        <v>805</v>
      </c>
      <c r="B565" s="12" t="n">
        <v>47</v>
      </c>
      <c r="C565" s="12" t="s">
        <v>43</v>
      </c>
      <c r="D565" s="12" t="s">
        <v>99</v>
      </c>
      <c r="E565" s="12" t="s">
        <v>321</v>
      </c>
      <c r="F565" s="12" t="s">
        <v>322</v>
      </c>
      <c r="G565" s="12" t="s">
        <v>53</v>
      </c>
      <c r="H565" s="12" t="s">
        <v>46</v>
      </c>
      <c r="I565" s="12" t="n">
        <v>5</v>
      </c>
      <c r="J565" s="12" t="s">
        <v>40</v>
      </c>
      <c r="K565" s="12" t="s">
        <v>147</v>
      </c>
      <c r="L565" s="12" t="str">
        <f aca="false">IF(OR(H565="Severe",H565="Life-Threatening"),"Yes","No")</f>
        <v>No</v>
      </c>
      <c r="M565" s="12" t="str">
        <f aca="false">IF(B565&lt;18,"0-17",IF(B565&lt;40,"18-39",IF(B565&lt;60,"40-59","60+")))</f>
        <v>40-59</v>
      </c>
      <c r="N565" s="12" t="str">
        <f aca="false">IF(I565&lt;=1,"0-1 days",IF(I565&lt;=7,"2-7 days",IF(I565&lt;=30,"8-30 days","&gt;30 days")))</f>
        <v>2-7 days</v>
      </c>
    </row>
    <row r="566" customFormat="false" ht="15" hidden="false" customHeight="false" outlineLevel="0" collapsed="false">
      <c r="A566" s="12" t="s">
        <v>806</v>
      </c>
      <c r="B566" s="12" t="n">
        <v>40</v>
      </c>
      <c r="C566" s="12" t="s">
        <v>34</v>
      </c>
      <c r="D566" s="12" t="s">
        <v>35</v>
      </c>
      <c r="E566" s="12" t="s">
        <v>44</v>
      </c>
      <c r="F566" s="12" t="s">
        <v>435</v>
      </c>
      <c r="G566" s="12" t="s">
        <v>146</v>
      </c>
      <c r="H566" s="12" t="s">
        <v>39</v>
      </c>
      <c r="I566" s="12" t="n">
        <v>19</v>
      </c>
      <c r="J566" s="12" t="s">
        <v>47</v>
      </c>
      <c r="K566" s="12" t="s">
        <v>41</v>
      </c>
      <c r="L566" s="12" t="str">
        <f aca="false">IF(OR(H566="Severe",H566="Life-Threatening"),"Yes","No")</f>
        <v>No</v>
      </c>
      <c r="M566" s="12" t="str">
        <f aca="false">IF(B566&lt;18,"0-17",IF(B566&lt;40,"18-39",IF(B566&lt;60,"40-59","60+")))</f>
        <v>40-59</v>
      </c>
      <c r="N566" s="12" t="str">
        <f aca="false">IF(I566&lt;=1,"0-1 days",IF(I566&lt;=7,"2-7 days",IF(I566&lt;=30,"8-30 days","&gt;30 days")))</f>
        <v>8-30 days</v>
      </c>
    </row>
    <row r="567" customFormat="false" ht="15" hidden="false" customHeight="false" outlineLevel="0" collapsed="false">
      <c r="A567" s="12" t="s">
        <v>807</v>
      </c>
      <c r="B567" s="12" t="n">
        <v>28</v>
      </c>
      <c r="C567" s="12" t="s">
        <v>34</v>
      </c>
      <c r="D567" s="12" t="s">
        <v>50</v>
      </c>
      <c r="E567" s="12" t="s">
        <v>179</v>
      </c>
      <c r="F567" s="12" t="s">
        <v>45</v>
      </c>
      <c r="G567" s="12" t="s">
        <v>38</v>
      </c>
      <c r="H567" s="12" t="s">
        <v>46</v>
      </c>
      <c r="I567" s="12" t="n">
        <v>14</v>
      </c>
      <c r="J567" s="12" t="s">
        <v>40</v>
      </c>
      <c r="K567" s="12" t="s">
        <v>48</v>
      </c>
      <c r="L567" s="12" t="str">
        <f aca="false">IF(OR(H567="Severe",H567="Life-Threatening"),"Yes","No")</f>
        <v>No</v>
      </c>
      <c r="M567" s="12" t="str">
        <f aca="false">IF(B567&lt;18,"0-17",IF(B567&lt;40,"18-39",IF(B567&lt;60,"40-59","60+")))</f>
        <v>18-39</v>
      </c>
      <c r="N567" s="12" t="str">
        <f aca="false">IF(I567&lt;=1,"0-1 days",IF(I567&lt;=7,"2-7 days",IF(I567&lt;=30,"8-30 days","&gt;30 days")))</f>
        <v>8-30 days</v>
      </c>
    </row>
    <row r="568" customFormat="false" ht="15" hidden="false" customHeight="false" outlineLevel="0" collapsed="false">
      <c r="A568" s="12" t="s">
        <v>808</v>
      </c>
      <c r="B568" s="12" t="n">
        <v>95</v>
      </c>
      <c r="C568" s="12" t="s">
        <v>43</v>
      </c>
      <c r="D568" s="12" t="s">
        <v>155</v>
      </c>
      <c r="E568" s="12" t="s">
        <v>158</v>
      </c>
      <c r="F568" s="12" t="s">
        <v>62</v>
      </c>
      <c r="G568" s="12" t="s">
        <v>53</v>
      </c>
      <c r="H568" s="12" t="s">
        <v>76</v>
      </c>
      <c r="I568" s="12" t="n">
        <v>4</v>
      </c>
      <c r="J568" s="12" t="s">
        <v>47</v>
      </c>
      <c r="K568" s="12" t="s">
        <v>63</v>
      </c>
      <c r="L568" s="12" t="str">
        <f aca="false">IF(OR(H568="Severe",H568="Life-Threatening"),"Yes","No")</f>
        <v>Yes</v>
      </c>
      <c r="M568" s="12" t="str">
        <f aca="false">IF(B568&lt;18,"0-17",IF(B568&lt;40,"18-39",IF(B568&lt;60,"40-59","60+")))</f>
        <v>60+</v>
      </c>
      <c r="N568" s="12" t="str">
        <f aca="false">IF(I568&lt;=1,"0-1 days",IF(I568&lt;=7,"2-7 days",IF(I568&lt;=30,"8-30 days","&gt;30 days")))</f>
        <v>2-7 days</v>
      </c>
    </row>
    <row r="569" customFormat="false" ht="15" hidden="false" customHeight="false" outlineLevel="0" collapsed="false">
      <c r="A569" s="12" t="s">
        <v>809</v>
      </c>
      <c r="B569" s="12" t="n">
        <v>46</v>
      </c>
      <c r="C569" s="12" t="s">
        <v>43</v>
      </c>
      <c r="D569" s="12" t="s">
        <v>155</v>
      </c>
      <c r="E569" s="12" t="s">
        <v>150</v>
      </c>
      <c r="F569" s="12" t="s">
        <v>151</v>
      </c>
      <c r="G569" s="12" t="s">
        <v>152</v>
      </c>
      <c r="H569" s="12" t="s">
        <v>59</v>
      </c>
      <c r="I569" s="12" t="n">
        <v>1</v>
      </c>
      <c r="J569" s="12" t="s">
        <v>40</v>
      </c>
      <c r="K569" s="12" t="s">
        <v>63</v>
      </c>
      <c r="L569" s="12" t="str">
        <f aca="false">IF(OR(H569="Severe",H569="Life-Threatening"),"Yes","No")</f>
        <v>Yes</v>
      </c>
      <c r="M569" s="12" t="str">
        <f aca="false">IF(B569&lt;18,"0-17",IF(B569&lt;40,"18-39",IF(B569&lt;60,"40-59","60+")))</f>
        <v>40-59</v>
      </c>
      <c r="N569" s="12" t="str">
        <f aca="false">IF(I569&lt;=1,"0-1 days",IF(I569&lt;=7,"2-7 days",IF(I569&lt;=30,"8-30 days","&gt;30 days")))</f>
        <v>0-1 days</v>
      </c>
    </row>
    <row r="570" customFormat="false" ht="15" hidden="false" customHeight="false" outlineLevel="0" collapsed="false">
      <c r="A570" s="12" t="s">
        <v>810</v>
      </c>
      <c r="B570" s="12" t="n">
        <v>68</v>
      </c>
      <c r="C570" s="12" t="s">
        <v>34</v>
      </c>
      <c r="D570" s="12" t="s">
        <v>231</v>
      </c>
      <c r="E570" s="12" t="s">
        <v>383</v>
      </c>
      <c r="F570" s="12" t="s">
        <v>235</v>
      </c>
      <c r="G570" s="12" t="s">
        <v>53</v>
      </c>
      <c r="H570" s="12" t="s">
        <v>46</v>
      </c>
      <c r="I570" s="12" t="n">
        <v>4</v>
      </c>
      <c r="J570" s="12" t="s">
        <v>40</v>
      </c>
      <c r="K570" s="12" t="s">
        <v>48</v>
      </c>
      <c r="L570" s="12" t="str">
        <f aca="false">IF(OR(H570="Severe",H570="Life-Threatening"),"Yes","No")</f>
        <v>No</v>
      </c>
      <c r="M570" s="12" t="str">
        <f aca="false">IF(B570&lt;18,"0-17",IF(B570&lt;40,"18-39",IF(B570&lt;60,"40-59","60+")))</f>
        <v>60+</v>
      </c>
      <c r="N570" s="12" t="str">
        <f aca="false">IF(I570&lt;=1,"0-1 days",IF(I570&lt;=7,"2-7 days",IF(I570&lt;=30,"8-30 days","&gt;30 days")))</f>
        <v>2-7 days</v>
      </c>
    </row>
    <row r="571" customFormat="false" ht="15" hidden="false" customHeight="false" outlineLevel="0" collapsed="false">
      <c r="A571" s="12" t="s">
        <v>811</v>
      </c>
      <c r="B571" s="12" t="n">
        <v>66</v>
      </c>
      <c r="C571" s="12" t="s">
        <v>34</v>
      </c>
      <c r="D571" s="12" t="s">
        <v>112</v>
      </c>
      <c r="E571" s="12" t="s">
        <v>266</v>
      </c>
      <c r="F571" s="12" t="s">
        <v>114</v>
      </c>
      <c r="G571" s="12" t="s">
        <v>115</v>
      </c>
      <c r="H571" s="12" t="s">
        <v>59</v>
      </c>
      <c r="I571" s="12" t="n">
        <v>27</v>
      </c>
      <c r="J571" s="12" t="s">
        <v>47</v>
      </c>
      <c r="K571" s="12" t="s">
        <v>63</v>
      </c>
      <c r="L571" s="12" t="str">
        <f aca="false">IF(OR(H571="Severe",H571="Life-Threatening"),"Yes","No")</f>
        <v>Yes</v>
      </c>
      <c r="M571" s="12" t="str">
        <f aca="false">IF(B571&lt;18,"0-17",IF(B571&lt;40,"18-39",IF(B571&lt;60,"40-59","60+")))</f>
        <v>60+</v>
      </c>
      <c r="N571" s="12" t="str">
        <f aca="false">IF(I571&lt;=1,"0-1 days",IF(I571&lt;=7,"2-7 days",IF(I571&lt;=30,"8-30 days","&gt;30 days")))</f>
        <v>8-30 days</v>
      </c>
    </row>
    <row r="572" customFormat="false" ht="15" hidden="false" customHeight="false" outlineLevel="0" collapsed="false">
      <c r="A572" s="12" t="s">
        <v>812</v>
      </c>
      <c r="B572" s="12" t="n">
        <v>60</v>
      </c>
      <c r="C572" s="12" t="s">
        <v>34</v>
      </c>
      <c r="D572" s="12" t="s">
        <v>194</v>
      </c>
      <c r="E572" s="12" t="s">
        <v>179</v>
      </c>
      <c r="F572" s="12" t="s">
        <v>325</v>
      </c>
      <c r="G572" s="12" t="s">
        <v>177</v>
      </c>
      <c r="H572" s="12" t="s">
        <v>39</v>
      </c>
      <c r="I572" s="12" t="n">
        <v>24</v>
      </c>
      <c r="J572" s="12" t="s">
        <v>40</v>
      </c>
      <c r="K572" s="12" t="s">
        <v>48</v>
      </c>
      <c r="L572" s="12" t="str">
        <f aca="false">IF(OR(H572="Severe",H572="Life-Threatening"),"Yes","No")</f>
        <v>No</v>
      </c>
      <c r="M572" s="12" t="str">
        <f aca="false">IF(B572&lt;18,"0-17",IF(B572&lt;40,"18-39",IF(B572&lt;60,"40-59","60+")))</f>
        <v>60+</v>
      </c>
      <c r="N572" s="12" t="str">
        <f aca="false">IF(I572&lt;=1,"0-1 days",IF(I572&lt;=7,"2-7 days",IF(I572&lt;=30,"8-30 days","&gt;30 days")))</f>
        <v>8-30 days</v>
      </c>
    </row>
    <row r="573" customFormat="false" ht="15" hidden="false" customHeight="false" outlineLevel="0" collapsed="false">
      <c r="A573" s="12" t="s">
        <v>813</v>
      </c>
      <c r="B573" s="12" t="n">
        <v>59</v>
      </c>
      <c r="C573" s="12" t="s">
        <v>43</v>
      </c>
      <c r="D573" s="12" t="s">
        <v>35</v>
      </c>
      <c r="E573" s="12" t="s">
        <v>383</v>
      </c>
      <c r="F573" s="12" t="s">
        <v>139</v>
      </c>
      <c r="G573" s="12" t="s">
        <v>38</v>
      </c>
      <c r="H573" s="12" t="s">
        <v>39</v>
      </c>
      <c r="I573" s="12" t="n">
        <v>10</v>
      </c>
      <c r="J573" s="12" t="s">
        <v>40</v>
      </c>
      <c r="K573" s="12" t="s">
        <v>48</v>
      </c>
      <c r="L573" s="12" t="str">
        <f aca="false">IF(OR(H573="Severe",H573="Life-Threatening"),"Yes","No")</f>
        <v>No</v>
      </c>
      <c r="M573" s="12" t="str">
        <f aca="false">IF(B573&lt;18,"0-17",IF(B573&lt;40,"18-39",IF(B573&lt;60,"40-59","60+")))</f>
        <v>40-59</v>
      </c>
      <c r="N573" s="12" t="str">
        <f aca="false">IF(I573&lt;=1,"0-1 days",IF(I573&lt;=7,"2-7 days",IF(I573&lt;=30,"8-30 days","&gt;30 days")))</f>
        <v>8-30 days</v>
      </c>
    </row>
    <row r="574" customFormat="false" ht="15" hidden="false" customHeight="false" outlineLevel="0" collapsed="false">
      <c r="A574" s="12" t="s">
        <v>814</v>
      </c>
      <c r="B574" s="12" t="n">
        <v>56</v>
      </c>
      <c r="C574" s="12" t="s">
        <v>34</v>
      </c>
      <c r="D574" s="12" t="s">
        <v>245</v>
      </c>
      <c r="E574" s="12" t="s">
        <v>164</v>
      </c>
      <c r="F574" s="12" t="s">
        <v>305</v>
      </c>
      <c r="G574" s="12" t="s">
        <v>177</v>
      </c>
      <c r="H574" s="12" t="s">
        <v>39</v>
      </c>
      <c r="I574" s="12" t="n">
        <v>28</v>
      </c>
      <c r="J574" s="12" t="s">
        <v>47</v>
      </c>
      <c r="K574" s="12" t="s">
        <v>63</v>
      </c>
      <c r="L574" s="12" t="str">
        <f aca="false">IF(OR(H574="Severe",H574="Life-Threatening"),"Yes","No")</f>
        <v>No</v>
      </c>
      <c r="M574" s="12" t="str">
        <f aca="false">IF(B574&lt;18,"0-17",IF(B574&lt;40,"18-39",IF(B574&lt;60,"40-59","60+")))</f>
        <v>40-59</v>
      </c>
      <c r="N574" s="12" t="str">
        <f aca="false">IF(I574&lt;=1,"0-1 days",IF(I574&lt;=7,"2-7 days",IF(I574&lt;=30,"8-30 days","&gt;30 days")))</f>
        <v>8-30 days</v>
      </c>
    </row>
    <row r="575" customFormat="false" ht="15" hidden="false" customHeight="false" outlineLevel="0" collapsed="false">
      <c r="A575" s="12" t="s">
        <v>815</v>
      </c>
      <c r="B575" s="12" t="n">
        <v>37</v>
      </c>
      <c r="C575" s="12" t="s">
        <v>43</v>
      </c>
      <c r="D575" s="12" t="s">
        <v>55</v>
      </c>
      <c r="E575" s="12" t="s">
        <v>181</v>
      </c>
      <c r="F575" s="12" t="s">
        <v>506</v>
      </c>
      <c r="G575" s="12" t="s">
        <v>94</v>
      </c>
      <c r="H575" s="12" t="s">
        <v>46</v>
      </c>
      <c r="I575" s="12" t="n">
        <v>17</v>
      </c>
      <c r="J575" s="12" t="s">
        <v>40</v>
      </c>
      <c r="K575" s="12" t="s">
        <v>63</v>
      </c>
      <c r="L575" s="12" t="str">
        <f aca="false">IF(OR(H575="Severe",H575="Life-Threatening"),"Yes","No")</f>
        <v>No</v>
      </c>
      <c r="M575" s="12" t="str">
        <f aca="false">IF(B575&lt;18,"0-17",IF(B575&lt;40,"18-39",IF(B575&lt;60,"40-59","60+")))</f>
        <v>18-39</v>
      </c>
      <c r="N575" s="12" t="str">
        <f aca="false">IF(I575&lt;=1,"0-1 days",IF(I575&lt;=7,"2-7 days",IF(I575&lt;=30,"8-30 days","&gt;30 days")))</f>
        <v>8-30 days</v>
      </c>
    </row>
    <row r="576" customFormat="false" ht="15" hidden="false" customHeight="false" outlineLevel="0" collapsed="false">
      <c r="A576" s="12" t="s">
        <v>816</v>
      </c>
      <c r="B576" s="12" t="n">
        <v>28</v>
      </c>
      <c r="C576" s="12" t="s">
        <v>43</v>
      </c>
      <c r="D576" s="12" t="s">
        <v>35</v>
      </c>
      <c r="E576" s="12" t="s">
        <v>369</v>
      </c>
      <c r="F576" s="12" t="s">
        <v>62</v>
      </c>
      <c r="G576" s="12" t="s">
        <v>53</v>
      </c>
      <c r="H576" s="12" t="s">
        <v>39</v>
      </c>
      <c r="I576" s="12" t="n">
        <v>13</v>
      </c>
      <c r="J576" s="12" t="s">
        <v>40</v>
      </c>
      <c r="K576" s="12" t="s">
        <v>63</v>
      </c>
      <c r="L576" s="12" t="str">
        <f aca="false">IF(OR(H576="Severe",H576="Life-Threatening"),"Yes","No")</f>
        <v>No</v>
      </c>
      <c r="M576" s="12" t="str">
        <f aca="false">IF(B576&lt;18,"0-17",IF(B576&lt;40,"18-39",IF(B576&lt;60,"40-59","60+")))</f>
        <v>18-39</v>
      </c>
      <c r="N576" s="12" t="str">
        <f aca="false">IF(I576&lt;=1,"0-1 days",IF(I576&lt;=7,"2-7 days",IF(I576&lt;=30,"8-30 days","&gt;30 days")))</f>
        <v>8-30 days</v>
      </c>
    </row>
    <row r="577" customFormat="false" ht="15" hidden="false" customHeight="false" outlineLevel="0" collapsed="false">
      <c r="A577" s="12" t="s">
        <v>817</v>
      </c>
      <c r="B577" s="12" t="n">
        <v>45</v>
      </c>
      <c r="C577" s="12" t="s">
        <v>34</v>
      </c>
      <c r="D577" s="12" t="s">
        <v>55</v>
      </c>
      <c r="E577" s="12" t="s">
        <v>383</v>
      </c>
      <c r="F577" s="12" t="s">
        <v>235</v>
      </c>
      <c r="G577" s="12" t="s">
        <v>53</v>
      </c>
      <c r="H577" s="12" t="s">
        <v>46</v>
      </c>
      <c r="I577" s="12" t="n">
        <v>27</v>
      </c>
      <c r="J577" s="12" t="s">
        <v>47</v>
      </c>
      <c r="K577" s="12" t="s">
        <v>63</v>
      </c>
      <c r="L577" s="12" t="str">
        <f aca="false">IF(OR(H577="Severe",H577="Life-Threatening"),"Yes","No")</f>
        <v>No</v>
      </c>
      <c r="M577" s="12" t="str">
        <f aca="false">IF(B577&lt;18,"0-17",IF(B577&lt;40,"18-39",IF(B577&lt;60,"40-59","60+")))</f>
        <v>40-59</v>
      </c>
      <c r="N577" s="12" t="str">
        <f aca="false">IF(I577&lt;=1,"0-1 days",IF(I577&lt;=7,"2-7 days",IF(I577&lt;=30,"8-30 days","&gt;30 days")))</f>
        <v>8-30 days</v>
      </c>
    </row>
    <row r="578" customFormat="false" ht="15" hidden="false" customHeight="false" outlineLevel="0" collapsed="false">
      <c r="A578" s="12" t="s">
        <v>818</v>
      </c>
      <c r="B578" s="12" t="n">
        <v>62</v>
      </c>
      <c r="C578" s="12" t="s">
        <v>34</v>
      </c>
      <c r="D578" s="12" t="s">
        <v>55</v>
      </c>
      <c r="E578" s="12" t="s">
        <v>272</v>
      </c>
      <c r="F578" s="12" t="s">
        <v>114</v>
      </c>
      <c r="G578" s="12" t="s">
        <v>115</v>
      </c>
      <c r="H578" s="12" t="s">
        <v>59</v>
      </c>
      <c r="I578" s="12" t="n">
        <v>31</v>
      </c>
      <c r="J578" s="12" t="s">
        <v>105</v>
      </c>
      <c r="K578" s="12" t="s">
        <v>63</v>
      </c>
      <c r="L578" s="12" t="str">
        <f aca="false">IF(OR(H578="Severe",H578="Life-Threatening"),"Yes","No")</f>
        <v>Yes</v>
      </c>
      <c r="M578" s="12" t="str">
        <f aca="false">IF(B578&lt;18,"0-17",IF(B578&lt;40,"18-39",IF(B578&lt;60,"40-59","60+")))</f>
        <v>60+</v>
      </c>
      <c r="N578" s="12" t="str">
        <f aca="false">IF(I578&lt;=1,"0-1 days",IF(I578&lt;=7,"2-7 days",IF(I578&lt;=30,"8-30 days","&gt;30 days")))</f>
        <v>&gt;30 days</v>
      </c>
    </row>
    <row r="579" customFormat="false" ht="15" hidden="false" customHeight="false" outlineLevel="0" collapsed="false">
      <c r="A579" s="12" t="s">
        <v>819</v>
      </c>
      <c r="B579" s="12" t="n">
        <v>32</v>
      </c>
      <c r="C579" s="12" t="s">
        <v>43</v>
      </c>
      <c r="D579" s="12" t="s">
        <v>69</v>
      </c>
      <c r="E579" s="12" t="s">
        <v>307</v>
      </c>
      <c r="F579" s="12" t="s">
        <v>249</v>
      </c>
      <c r="G579" s="12" t="s">
        <v>152</v>
      </c>
      <c r="H579" s="12" t="s">
        <v>46</v>
      </c>
      <c r="I579" s="12" t="n">
        <v>30</v>
      </c>
      <c r="J579" s="12" t="s">
        <v>40</v>
      </c>
      <c r="K579" s="12" t="s">
        <v>48</v>
      </c>
      <c r="L579" s="12" t="str">
        <f aca="false">IF(OR(H579="Severe",H579="Life-Threatening"),"Yes","No")</f>
        <v>No</v>
      </c>
      <c r="M579" s="12" t="str">
        <f aca="false">IF(B579&lt;18,"0-17",IF(B579&lt;40,"18-39",IF(B579&lt;60,"40-59","60+")))</f>
        <v>18-39</v>
      </c>
      <c r="N579" s="12" t="str">
        <f aca="false">IF(I579&lt;=1,"0-1 days",IF(I579&lt;=7,"2-7 days",IF(I579&lt;=30,"8-30 days","&gt;30 days")))</f>
        <v>8-30 days</v>
      </c>
    </row>
    <row r="580" customFormat="false" ht="15" hidden="false" customHeight="false" outlineLevel="0" collapsed="false">
      <c r="A580" s="12" t="s">
        <v>820</v>
      </c>
      <c r="B580" s="12" t="n">
        <v>84</v>
      </c>
      <c r="C580" s="12" t="s">
        <v>43</v>
      </c>
      <c r="D580" s="12" t="s">
        <v>85</v>
      </c>
      <c r="E580" s="12" t="s">
        <v>821</v>
      </c>
      <c r="F580" s="12" t="s">
        <v>274</v>
      </c>
      <c r="G580" s="12" t="s">
        <v>146</v>
      </c>
      <c r="H580" s="12" t="s">
        <v>39</v>
      </c>
      <c r="I580" s="12" t="n">
        <v>9</v>
      </c>
      <c r="J580" s="12" t="s">
        <v>47</v>
      </c>
      <c r="K580" s="12" t="s">
        <v>48</v>
      </c>
      <c r="L580" s="12" t="str">
        <f aca="false">IF(OR(H580="Severe",H580="Life-Threatening"),"Yes","No")</f>
        <v>No</v>
      </c>
      <c r="M580" s="12" t="str">
        <f aca="false">IF(B580&lt;18,"0-17",IF(B580&lt;40,"18-39",IF(B580&lt;60,"40-59","60+")))</f>
        <v>60+</v>
      </c>
      <c r="N580" s="12" t="str">
        <f aca="false">IF(I580&lt;=1,"0-1 days",IF(I580&lt;=7,"2-7 days",IF(I580&lt;=30,"8-30 days","&gt;30 days")))</f>
        <v>8-30 days</v>
      </c>
    </row>
    <row r="581" customFormat="false" ht="15" hidden="false" customHeight="false" outlineLevel="0" collapsed="false">
      <c r="A581" s="12" t="s">
        <v>822</v>
      </c>
      <c r="B581" s="12" t="n">
        <v>36</v>
      </c>
      <c r="C581" s="12" t="s">
        <v>43</v>
      </c>
      <c r="D581" s="12" t="s">
        <v>168</v>
      </c>
      <c r="E581" s="12" t="s">
        <v>313</v>
      </c>
      <c r="F581" s="12" t="s">
        <v>142</v>
      </c>
      <c r="G581" s="12" t="s">
        <v>38</v>
      </c>
      <c r="H581" s="12" t="s">
        <v>76</v>
      </c>
      <c r="I581" s="12" t="n">
        <v>7</v>
      </c>
      <c r="J581" s="12" t="s">
        <v>67</v>
      </c>
      <c r="K581" s="12" t="s">
        <v>147</v>
      </c>
      <c r="L581" s="12" t="str">
        <f aca="false">IF(OR(H581="Severe",H581="Life-Threatening"),"Yes","No")</f>
        <v>Yes</v>
      </c>
      <c r="M581" s="12" t="str">
        <f aca="false">IF(B581&lt;18,"0-17",IF(B581&lt;40,"18-39",IF(B581&lt;60,"40-59","60+")))</f>
        <v>18-39</v>
      </c>
      <c r="N581" s="12" t="str">
        <f aca="false">IF(I581&lt;=1,"0-1 days",IF(I581&lt;=7,"2-7 days",IF(I581&lt;=30,"8-30 days","&gt;30 days")))</f>
        <v>2-7 days</v>
      </c>
    </row>
    <row r="582" customFormat="false" ht="15" hidden="false" customHeight="false" outlineLevel="0" collapsed="false">
      <c r="A582" s="12" t="s">
        <v>823</v>
      </c>
      <c r="B582" s="12" t="n">
        <v>51</v>
      </c>
      <c r="C582" s="12" t="s">
        <v>34</v>
      </c>
      <c r="D582" s="12" t="s">
        <v>35</v>
      </c>
      <c r="E582" s="12" t="s">
        <v>134</v>
      </c>
      <c r="F582" s="12" t="s">
        <v>135</v>
      </c>
      <c r="G582" s="12" t="s">
        <v>136</v>
      </c>
      <c r="H582" s="12" t="s">
        <v>39</v>
      </c>
      <c r="I582" s="12" t="n">
        <v>2</v>
      </c>
      <c r="J582" s="12" t="s">
        <v>40</v>
      </c>
      <c r="K582" s="12" t="s">
        <v>63</v>
      </c>
      <c r="L582" s="12" t="str">
        <f aca="false">IF(OR(H582="Severe",H582="Life-Threatening"),"Yes","No")</f>
        <v>No</v>
      </c>
      <c r="M582" s="12" t="str">
        <f aca="false">IF(B582&lt;18,"0-17",IF(B582&lt;40,"18-39",IF(B582&lt;60,"40-59","60+")))</f>
        <v>40-59</v>
      </c>
      <c r="N582" s="12" t="str">
        <f aca="false">IF(I582&lt;=1,"0-1 days",IF(I582&lt;=7,"2-7 days",IF(I582&lt;=30,"8-30 days","&gt;30 days")))</f>
        <v>2-7 days</v>
      </c>
    </row>
    <row r="583" customFormat="false" ht="15" hidden="false" customHeight="false" outlineLevel="0" collapsed="false">
      <c r="A583" s="12" t="s">
        <v>824</v>
      </c>
      <c r="B583" s="12" t="n">
        <v>17</v>
      </c>
      <c r="C583" s="12" t="s">
        <v>34</v>
      </c>
      <c r="D583" s="12" t="s">
        <v>35</v>
      </c>
      <c r="E583" s="12" t="s">
        <v>398</v>
      </c>
      <c r="F583" s="12" t="s">
        <v>37</v>
      </c>
      <c r="G583" s="12" t="s">
        <v>38</v>
      </c>
      <c r="H583" s="12" t="s">
        <v>46</v>
      </c>
      <c r="I583" s="12" t="n">
        <v>26</v>
      </c>
      <c r="J583" s="12" t="s">
        <v>40</v>
      </c>
      <c r="K583" s="12" t="s">
        <v>48</v>
      </c>
      <c r="L583" s="12" t="str">
        <f aca="false">IF(OR(H583="Severe",H583="Life-Threatening"),"Yes","No")</f>
        <v>No</v>
      </c>
      <c r="M583" s="12" t="str">
        <f aca="false">IF(B583&lt;18,"0-17",IF(B583&lt;40,"18-39",IF(B583&lt;60,"40-59","60+")))</f>
        <v>0-17</v>
      </c>
      <c r="N583" s="12" t="str">
        <f aca="false">IF(I583&lt;=1,"0-1 days",IF(I583&lt;=7,"2-7 days",IF(I583&lt;=30,"8-30 days","&gt;30 days")))</f>
        <v>8-30 days</v>
      </c>
    </row>
    <row r="584" customFormat="false" ht="15" hidden="false" customHeight="false" outlineLevel="0" collapsed="false">
      <c r="A584" s="12" t="s">
        <v>825</v>
      </c>
      <c r="B584" s="12" t="n">
        <v>64</v>
      </c>
      <c r="C584" s="12" t="s">
        <v>43</v>
      </c>
      <c r="D584" s="12" t="s">
        <v>123</v>
      </c>
      <c r="E584" s="12" t="s">
        <v>113</v>
      </c>
      <c r="F584" s="12" t="s">
        <v>114</v>
      </c>
      <c r="G584" s="12" t="s">
        <v>115</v>
      </c>
      <c r="H584" s="12" t="s">
        <v>59</v>
      </c>
      <c r="I584" s="12" t="n">
        <v>18</v>
      </c>
      <c r="J584" s="12" t="s">
        <v>105</v>
      </c>
      <c r="K584" s="12" t="s">
        <v>48</v>
      </c>
      <c r="L584" s="12" t="str">
        <f aca="false">IF(OR(H584="Severe",H584="Life-Threatening"),"Yes","No")</f>
        <v>Yes</v>
      </c>
      <c r="M584" s="12" t="str">
        <f aca="false">IF(B584&lt;18,"0-17",IF(B584&lt;40,"18-39",IF(B584&lt;60,"40-59","60+")))</f>
        <v>60+</v>
      </c>
      <c r="N584" s="12" t="str">
        <f aca="false">IF(I584&lt;=1,"0-1 days",IF(I584&lt;=7,"2-7 days",IF(I584&lt;=30,"8-30 days","&gt;30 days")))</f>
        <v>8-30 days</v>
      </c>
    </row>
    <row r="585" customFormat="false" ht="15" hidden="false" customHeight="false" outlineLevel="0" collapsed="false">
      <c r="A585" s="12" t="s">
        <v>826</v>
      </c>
      <c r="B585" s="12" t="n">
        <v>37</v>
      </c>
      <c r="C585" s="12" t="s">
        <v>43</v>
      </c>
      <c r="D585" s="12" t="s">
        <v>196</v>
      </c>
      <c r="E585" s="12" t="s">
        <v>141</v>
      </c>
      <c r="F585" s="12" t="s">
        <v>62</v>
      </c>
      <c r="G585" s="12" t="s">
        <v>53</v>
      </c>
      <c r="H585" s="12" t="s">
        <v>39</v>
      </c>
      <c r="I585" s="12" t="n">
        <v>21</v>
      </c>
      <c r="J585" s="12" t="s">
        <v>40</v>
      </c>
      <c r="K585" s="12" t="s">
        <v>63</v>
      </c>
      <c r="L585" s="12" t="str">
        <f aca="false">IF(OR(H585="Severe",H585="Life-Threatening"),"Yes","No")</f>
        <v>No</v>
      </c>
      <c r="M585" s="12" t="str">
        <f aca="false">IF(B585&lt;18,"0-17",IF(B585&lt;40,"18-39",IF(B585&lt;60,"40-59","60+")))</f>
        <v>18-39</v>
      </c>
      <c r="N585" s="12" t="str">
        <f aca="false">IF(I585&lt;=1,"0-1 days",IF(I585&lt;=7,"2-7 days",IF(I585&lt;=30,"8-30 days","&gt;30 days")))</f>
        <v>8-30 days</v>
      </c>
    </row>
    <row r="586" customFormat="false" ht="15" hidden="false" customHeight="false" outlineLevel="0" collapsed="false">
      <c r="A586" s="12" t="s">
        <v>827</v>
      </c>
      <c r="B586" s="12" t="n">
        <v>56</v>
      </c>
      <c r="C586" s="12" t="s">
        <v>43</v>
      </c>
      <c r="D586" s="12" t="s">
        <v>202</v>
      </c>
      <c r="E586" s="12" t="s">
        <v>70</v>
      </c>
      <c r="F586" s="12" t="s">
        <v>108</v>
      </c>
      <c r="G586" s="12" t="s">
        <v>38</v>
      </c>
      <c r="H586" s="12" t="s">
        <v>39</v>
      </c>
      <c r="I586" s="12" t="n">
        <v>12</v>
      </c>
      <c r="J586" s="12" t="s">
        <v>67</v>
      </c>
      <c r="K586" s="12" t="s">
        <v>63</v>
      </c>
      <c r="L586" s="12" t="str">
        <f aca="false">IF(OR(H586="Severe",H586="Life-Threatening"),"Yes","No")</f>
        <v>No</v>
      </c>
      <c r="M586" s="12" t="str">
        <f aca="false">IF(B586&lt;18,"0-17",IF(B586&lt;40,"18-39",IF(B586&lt;60,"40-59","60+")))</f>
        <v>40-59</v>
      </c>
      <c r="N586" s="12" t="str">
        <f aca="false">IF(I586&lt;=1,"0-1 days",IF(I586&lt;=7,"2-7 days",IF(I586&lt;=30,"8-30 days","&gt;30 days")))</f>
        <v>8-30 days</v>
      </c>
    </row>
    <row r="587" customFormat="false" ht="15" hidden="false" customHeight="false" outlineLevel="0" collapsed="false">
      <c r="A587" s="12" t="s">
        <v>828</v>
      </c>
      <c r="B587" s="12" t="n">
        <v>58</v>
      </c>
      <c r="C587" s="12" t="s">
        <v>43</v>
      </c>
      <c r="D587" s="12" t="s">
        <v>120</v>
      </c>
      <c r="E587" s="12" t="s">
        <v>186</v>
      </c>
      <c r="F587" s="12" t="s">
        <v>131</v>
      </c>
      <c r="G587" s="12" t="s">
        <v>94</v>
      </c>
      <c r="H587" s="12" t="s">
        <v>39</v>
      </c>
      <c r="I587" s="12" t="n">
        <v>18</v>
      </c>
      <c r="J587" s="12" t="s">
        <v>40</v>
      </c>
      <c r="K587" s="12" t="s">
        <v>63</v>
      </c>
      <c r="L587" s="12" t="str">
        <f aca="false">IF(OR(H587="Severe",H587="Life-Threatening"),"Yes","No")</f>
        <v>No</v>
      </c>
      <c r="M587" s="12" t="str">
        <f aca="false">IF(B587&lt;18,"0-17",IF(B587&lt;40,"18-39",IF(B587&lt;60,"40-59","60+")))</f>
        <v>40-59</v>
      </c>
      <c r="N587" s="12" t="str">
        <f aca="false">IF(I587&lt;=1,"0-1 days",IF(I587&lt;=7,"2-7 days",IF(I587&lt;=30,"8-30 days","&gt;30 days")))</f>
        <v>8-30 days</v>
      </c>
    </row>
    <row r="588" customFormat="false" ht="15" hidden="false" customHeight="false" outlineLevel="0" collapsed="false">
      <c r="A588" s="12" t="s">
        <v>829</v>
      </c>
      <c r="B588" s="12" t="n">
        <v>63</v>
      </c>
      <c r="C588" s="12" t="s">
        <v>34</v>
      </c>
      <c r="D588" s="12" t="s">
        <v>102</v>
      </c>
      <c r="E588" s="12" t="s">
        <v>386</v>
      </c>
      <c r="F588" s="12" t="s">
        <v>62</v>
      </c>
      <c r="G588" s="12" t="s">
        <v>53</v>
      </c>
      <c r="H588" s="12" t="s">
        <v>39</v>
      </c>
      <c r="I588" s="12" t="n">
        <v>6</v>
      </c>
      <c r="J588" s="12" t="s">
        <v>40</v>
      </c>
      <c r="K588" s="12" t="s">
        <v>48</v>
      </c>
      <c r="L588" s="12" t="str">
        <f aca="false">IF(OR(H588="Severe",H588="Life-Threatening"),"Yes","No")</f>
        <v>No</v>
      </c>
      <c r="M588" s="12" t="str">
        <f aca="false">IF(B588&lt;18,"0-17",IF(B588&lt;40,"18-39",IF(B588&lt;60,"40-59","60+")))</f>
        <v>60+</v>
      </c>
      <c r="N588" s="12" t="str">
        <f aca="false">IF(I588&lt;=1,"0-1 days",IF(I588&lt;=7,"2-7 days",IF(I588&lt;=30,"8-30 days","&gt;30 days")))</f>
        <v>2-7 days</v>
      </c>
    </row>
    <row r="589" customFormat="false" ht="15" hidden="false" customHeight="false" outlineLevel="0" collapsed="false">
      <c r="A589" s="12" t="s">
        <v>830</v>
      </c>
      <c r="B589" s="12" t="n">
        <v>57</v>
      </c>
      <c r="C589" s="12" t="s">
        <v>34</v>
      </c>
      <c r="D589" s="12" t="s">
        <v>190</v>
      </c>
      <c r="E589" s="12" t="s">
        <v>227</v>
      </c>
      <c r="F589" s="12" t="s">
        <v>264</v>
      </c>
      <c r="G589" s="12" t="s">
        <v>104</v>
      </c>
      <c r="H589" s="12" t="s">
        <v>59</v>
      </c>
      <c r="I589" s="12" t="n">
        <v>10</v>
      </c>
      <c r="J589" s="12" t="s">
        <v>67</v>
      </c>
      <c r="K589" s="12" t="s">
        <v>63</v>
      </c>
      <c r="L589" s="12" t="str">
        <f aca="false">IF(OR(H589="Severe",H589="Life-Threatening"),"Yes","No")</f>
        <v>Yes</v>
      </c>
      <c r="M589" s="12" t="str">
        <f aca="false">IF(B589&lt;18,"0-17",IF(B589&lt;40,"18-39",IF(B589&lt;60,"40-59","60+")))</f>
        <v>40-59</v>
      </c>
      <c r="N589" s="12" t="str">
        <f aca="false">IF(I589&lt;=1,"0-1 days",IF(I589&lt;=7,"2-7 days",IF(I589&lt;=30,"8-30 days","&gt;30 days")))</f>
        <v>8-30 days</v>
      </c>
    </row>
    <row r="590" customFormat="false" ht="15" hidden="false" customHeight="false" outlineLevel="0" collapsed="false">
      <c r="A590" s="12" t="s">
        <v>831</v>
      </c>
      <c r="B590" s="12" t="n">
        <v>63</v>
      </c>
      <c r="C590" s="12" t="s">
        <v>43</v>
      </c>
      <c r="D590" s="12" t="s">
        <v>69</v>
      </c>
      <c r="E590" s="12" t="s">
        <v>61</v>
      </c>
      <c r="F590" s="12" t="s">
        <v>488</v>
      </c>
      <c r="G590" s="12" t="s">
        <v>53</v>
      </c>
      <c r="H590" s="12" t="s">
        <v>76</v>
      </c>
      <c r="I590" s="12" t="n">
        <v>0</v>
      </c>
      <c r="J590" s="12" t="s">
        <v>67</v>
      </c>
      <c r="K590" s="12" t="s">
        <v>63</v>
      </c>
      <c r="L590" s="12" t="str">
        <f aca="false">IF(OR(H590="Severe",H590="Life-Threatening"),"Yes","No")</f>
        <v>Yes</v>
      </c>
      <c r="M590" s="12" t="str">
        <f aca="false">IF(B590&lt;18,"0-17",IF(B590&lt;40,"18-39",IF(B590&lt;60,"40-59","60+")))</f>
        <v>60+</v>
      </c>
      <c r="N590" s="12" t="str">
        <f aca="false">IF(I590&lt;=1,"0-1 days",IF(I590&lt;=7,"2-7 days",IF(I590&lt;=30,"8-30 days","&gt;30 days")))</f>
        <v>0-1 days</v>
      </c>
    </row>
    <row r="591" customFormat="false" ht="15" hidden="false" customHeight="false" outlineLevel="0" collapsed="false">
      <c r="A591" s="12" t="s">
        <v>832</v>
      </c>
      <c r="B591" s="12" t="n">
        <v>86</v>
      </c>
      <c r="C591" s="12" t="s">
        <v>34</v>
      </c>
      <c r="D591" s="12" t="s">
        <v>99</v>
      </c>
      <c r="E591" s="12" t="s">
        <v>183</v>
      </c>
      <c r="F591" s="12" t="s">
        <v>325</v>
      </c>
      <c r="G591" s="12" t="s">
        <v>177</v>
      </c>
      <c r="H591" s="12" t="s">
        <v>76</v>
      </c>
      <c r="I591" s="12" t="n">
        <v>29</v>
      </c>
      <c r="J591" s="12" t="s">
        <v>169</v>
      </c>
      <c r="K591" s="12" t="s">
        <v>48</v>
      </c>
      <c r="L591" s="12" t="str">
        <f aca="false">IF(OR(H591="Severe",H591="Life-Threatening"),"Yes","No")</f>
        <v>Yes</v>
      </c>
      <c r="M591" s="12" t="str">
        <f aca="false">IF(B591&lt;18,"0-17",IF(B591&lt;40,"18-39",IF(B591&lt;60,"40-59","60+")))</f>
        <v>60+</v>
      </c>
      <c r="N591" s="12" t="str">
        <f aca="false">IF(I591&lt;=1,"0-1 days",IF(I591&lt;=7,"2-7 days",IF(I591&lt;=30,"8-30 days","&gt;30 days")))</f>
        <v>8-30 days</v>
      </c>
    </row>
    <row r="592" customFormat="false" ht="15" hidden="false" customHeight="false" outlineLevel="0" collapsed="false">
      <c r="A592" s="12" t="s">
        <v>833</v>
      </c>
      <c r="B592" s="12" t="n">
        <v>46</v>
      </c>
      <c r="C592" s="12" t="s">
        <v>43</v>
      </c>
      <c r="D592" s="12" t="s">
        <v>155</v>
      </c>
      <c r="E592" s="12" t="s">
        <v>150</v>
      </c>
      <c r="F592" s="12" t="s">
        <v>221</v>
      </c>
      <c r="G592" s="12" t="s">
        <v>94</v>
      </c>
      <c r="H592" s="12" t="s">
        <v>46</v>
      </c>
      <c r="I592" s="12" t="n">
        <v>1</v>
      </c>
      <c r="J592" s="12" t="s">
        <v>40</v>
      </c>
      <c r="K592" s="12" t="s">
        <v>63</v>
      </c>
      <c r="L592" s="12" t="str">
        <f aca="false">IF(OR(H592="Severe",H592="Life-Threatening"),"Yes","No")</f>
        <v>No</v>
      </c>
      <c r="M592" s="12" t="str">
        <f aca="false">IF(B592&lt;18,"0-17",IF(B592&lt;40,"18-39",IF(B592&lt;60,"40-59","60+")))</f>
        <v>40-59</v>
      </c>
      <c r="N592" s="12" t="str">
        <f aca="false">IF(I592&lt;=1,"0-1 days",IF(I592&lt;=7,"2-7 days",IF(I592&lt;=30,"8-30 days","&gt;30 days")))</f>
        <v>0-1 days</v>
      </c>
    </row>
    <row r="593" customFormat="false" ht="15" hidden="false" customHeight="false" outlineLevel="0" collapsed="false">
      <c r="A593" s="12" t="s">
        <v>834</v>
      </c>
      <c r="B593" s="12" t="n">
        <v>84</v>
      </c>
      <c r="C593" s="12" t="s">
        <v>43</v>
      </c>
      <c r="D593" s="12" t="s">
        <v>35</v>
      </c>
      <c r="E593" s="12" t="s">
        <v>179</v>
      </c>
      <c r="F593" s="12" t="s">
        <v>45</v>
      </c>
      <c r="G593" s="12" t="s">
        <v>38</v>
      </c>
      <c r="H593" s="12" t="s">
        <v>46</v>
      </c>
      <c r="I593" s="12" t="n">
        <v>12</v>
      </c>
      <c r="J593" s="12" t="s">
        <v>47</v>
      </c>
      <c r="K593" s="12" t="s">
        <v>48</v>
      </c>
      <c r="L593" s="12" t="str">
        <f aca="false">IF(OR(H593="Severe",H593="Life-Threatening"),"Yes","No")</f>
        <v>No</v>
      </c>
      <c r="M593" s="12" t="str">
        <f aca="false">IF(B593&lt;18,"0-17",IF(B593&lt;40,"18-39",IF(B593&lt;60,"40-59","60+")))</f>
        <v>60+</v>
      </c>
      <c r="N593" s="12" t="str">
        <f aca="false">IF(I593&lt;=1,"0-1 days",IF(I593&lt;=7,"2-7 days",IF(I593&lt;=30,"8-30 days","&gt;30 days")))</f>
        <v>8-30 days</v>
      </c>
    </row>
    <row r="594" customFormat="false" ht="15" hidden="false" customHeight="false" outlineLevel="0" collapsed="false">
      <c r="A594" s="12" t="s">
        <v>835</v>
      </c>
      <c r="B594" s="12" t="n">
        <v>69</v>
      </c>
      <c r="C594" s="12" t="s">
        <v>34</v>
      </c>
      <c r="D594" s="12" t="s">
        <v>123</v>
      </c>
      <c r="E594" s="12" t="s">
        <v>121</v>
      </c>
      <c r="F594" s="12" t="s">
        <v>565</v>
      </c>
      <c r="G594" s="12" t="s">
        <v>115</v>
      </c>
      <c r="H594" s="12" t="s">
        <v>76</v>
      </c>
      <c r="I594" s="12" t="n">
        <v>29</v>
      </c>
      <c r="J594" s="12" t="s">
        <v>47</v>
      </c>
      <c r="K594" s="12" t="s">
        <v>63</v>
      </c>
      <c r="L594" s="12" t="str">
        <f aca="false">IF(OR(H594="Severe",H594="Life-Threatening"),"Yes","No")</f>
        <v>Yes</v>
      </c>
      <c r="M594" s="12" t="str">
        <f aca="false">IF(B594&lt;18,"0-17",IF(B594&lt;40,"18-39",IF(B594&lt;60,"40-59","60+")))</f>
        <v>60+</v>
      </c>
      <c r="N594" s="12" t="str">
        <f aca="false">IF(I594&lt;=1,"0-1 days",IF(I594&lt;=7,"2-7 days",IF(I594&lt;=30,"8-30 days","&gt;30 days")))</f>
        <v>8-30 days</v>
      </c>
    </row>
    <row r="595" customFormat="false" ht="15" hidden="false" customHeight="false" outlineLevel="0" collapsed="false">
      <c r="A595" s="12" t="s">
        <v>836</v>
      </c>
      <c r="B595" s="12" t="n">
        <v>13</v>
      </c>
      <c r="C595" s="12" t="s">
        <v>43</v>
      </c>
      <c r="D595" s="12" t="s">
        <v>35</v>
      </c>
      <c r="E595" s="12" t="s">
        <v>130</v>
      </c>
      <c r="F595" s="12" t="s">
        <v>62</v>
      </c>
      <c r="G595" s="12" t="s">
        <v>53</v>
      </c>
      <c r="H595" s="12" t="s">
        <v>46</v>
      </c>
      <c r="I595" s="12" t="n">
        <v>18</v>
      </c>
      <c r="J595" s="12" t="s">
        <v>40</v>
      </c>
      <c r="K595" s="12" t="s">
        <v>48</v>
      </c>
      <c r="L595" s="12" t="str">
        <f aca="false">IF(OR(H595="Severe",H595="Life-Threatening"),"Yes","No")</f>
        <v>No</v>
      </c>
      <c r="M595" s="12" t="str">
        <f aca="false">IF(B595&lt;18,"0-17",IF(B595&lt;40,"18-39",IF(B595&lt;60,"40-59","60+")))</f>
        <v>0-17</v>
      </c>
      <c r="N595" s="12" t="str">
        <f aca="false">IF(I595&lt;=1,"0-1 days",IF(I595&lt;=7,"2-7 days",IF(I595&lt;=30,"8-30 days","&gt;30 days")))</f>
        <v>8-30 days</v>
      </c>
    </row>
    <row r="596" customFormat="false" ht="15" hidden="false" customHeight="false" outlineLevel="0" collapsed="false">
      <c r="A596" s="12" t="s">
        <v>837</v>
      </c>
      <c r="B596" s="12" t="n">
        <v>12</v>
      </c>
      <c r="C596" s="12" t="s">
        <v>34</v>
      </c>
      <c r="D596" s="12" t="s">
        <v>245</v>
      </c>
      <c r="E596" s="12" t="s">
        <v>454</v>
      </c>
      <c r="F596" s="12" t="s">
        <v>45</v>
      </c>
      <c r="G596" s="12" t="s">
        <v>38</v>
      </c>
      <c r="H596" s="12" t="s">
        <v>39</v>
      </c>
      <c r="I596" s="12" t="n">
        <v>11</v>
      </c>
      <c r="J596" s="12" t="s">
        <v>40</v>
      </c>
      <c r="K596" s="12" t="s">
        <v>48</v>
      </c>
      <c r="L596" s="12" t="str">
        <f aca="false">IF(OR(H596="Severe",H596="Life-Threatening"),"Yes","No")</f>
        <v>No</v>
      </c>
      <c r="M596" s="12" t="str">
        <f aca="false">IF(B596&lt;18,"0-17",IF(B596&lt;40,"18-39",IF(B596&lt;60,"40-59","60+")))</f>
        <v>0-17</v>
      </c>
      <c r="N596" s="12" t="str">
        <f aca="false">IF(I596&lt;=1,"0-1 days",IF(I596&lt;=7,"2-7 days",IF(I596&lt;=30,"8-30 days","&gt;30 days")))</f>
        <v>8-30 days</v>
      </c>
    </row>
    <row r="597" customFormat="false" ht="15" hidden="false" customHeight="false" outlineLevel="0" collapsed="false">
      <c r="A597" s="12" t="s">
        <v>838</v>
      </c>
      <c r="B597" s="12" t="n">
        <v>8</v>
      </c>
      <c r="C597" s="12" t="s">
        <v>43</v>
      </c>
      <c r="D597" s="12" t="s">
        <v>194</v>
      </c>
      <c r="E597" s="12" t="s">
        <v>130</v>
      </c>
      <c r="F597" s="12" t="s">
        <v>131</v>
      </c>
      <c r="G597" s="12" t="s">
        <v>94</v>
      </c>
      <c r="H597" s="12" t="s">
        <v>39</v>
      </c>
      <c r="I597" s="12" t="n">
        <v>14</v>
      </c>
      <c r="J597" s="12" t="s">
        <v>40</v>
      </c>
      <c r="K597" s="12" t="s">
        <v>48</v>
      </c>
      <c r="L597" s="12" t="str">
        <f aca="false">IF(OR(H597="Severe",H597="Life-Threatening"),"Yes","No")</f>
        <v>No</v>
      </c>
      <c r="M597" s="12" t="str">
        <f aca="false">IF(B597&lt;18,"0-17",IF(B597&lt;40,"18-39",IF(B597&lt;60,"40-59","60+")))</f>
        <v>0-17</v>
      </c>
      <c r="N597" s="12" t="str">
        <f aca="false">IF(I597&lt;=1,"0-1 days",IF(I597&lt;=7,"2-7 days",IF(I597&lt;=30,"8-30 days","&gt;30 days")))</f>
        <v>8-30 days</v>
      </c>
    </row>
    <row r="598" customFormat="false" ht="15" hidden="false" customHeight="false" outlineLevel="0" collapsed="false">
      <c r="A598" s="12" t="s">
        <v>839</v>
      </c>
      <c r="B598" s="12" t="n">
        <v>46</v>
      </c>
      <c r="C598" s="12" t="s">
        <v>43</v>
      </c>
      <c r="D598" s="12" t="s">
        <v>55</v>
      </c>
      <c r="E598" s="12" t="s">
        <v>530</v>
      </c>
      <c r="F598" s="12" t="s">
        <v>62</v>
      </c>
      <c r="G598" s="12" t="s">
        <v>53</v>
      </c>
      <c r="H598" s="12" t="s">
        <v>46</v>
      </c>
      <c r="I598" s="12" t="n">
        <v>3</v>
      </c>
      <c r="J598" s="12" t="s">
        <v>169</v>
      </c>
      <c r="K598" s="12" t="s">
        <v>63</v>
      </c>
      <c r="L598" s="12" t="str">
        <f aca="false">IF(OR(H598="Severe",H598="Life-Threatening"),"Yes","No")</f>
        <v>No</v>
      </c>
      <c r="M598" s="12" t="str">
        <f aca="false">IF(B598&lt;18,"0-17",IF(B598&lt;40,"18-39",IF(B598&lt;60,"40-59","60+")))</f>
        <v>40-59</v>
      </c>
      <c r="N598" s="12" t="str">
        <f aca="false">IF(I598&lt;=1,"0-1 days",IF(I598&lt;=7,"2-7 days",IF(I598&lt;=30,"8-30 days","&gt;30 days")))</f>
        <v>2-7 days</v>
      </c>
    </row>
    <row r="599" customFormat="false" ht="15" hidden="false" customHeight="false" outlineLevel="0" collapsed="false">
      <c r="A599" s="12" t="s">
        <v>840</v>
      </c>
      <c r="B599" s="12" t="n">
        <v>79</v>
      </c>
      <c r="C599" s="12" t="s">
        <v>43</v>
      </c>
      <c r="D599" s="12" t="s">
        <v>102</v>
      </c>
      <c r="E599" s="12" t="s">
        <v>110</v>
      </c>
      <c r="F599" s="12" t="s">
        <v>322</v>
      </c>
      <c r="G599" s="12" t="s">
        <v>53</v>
      </c>
      <c r="H599" s="12" t="s">
        <v>39</v>
      </c>
      <c r="I599" s="12" t="n">
        <v>26</v>
      </c>
      <c r="J599" s="12" t="s">
        <v>40</v>
      </c>
      <c r="K599" s="12" t="s">
        <v>48</v>
      </c>
      <c r="L599" s="12" t="str">
        <f aca="false">IF(OR(H599="Severe",H599="Life-Threatening"),"Yes","No")</f>
        <v>No</v>
      </c>
      <c r="M599" s="12" t="str">
        <f aca="false">IF(B599&lt;18,"0-17",IF(B599&lt;40,"18-39",IF(B599&lt;60,"40-59","60+")))</f>
        <v>60+</v>
      </c>
      <c r="N599" s="12" t="str">
        <f aca="false">IF(I599&lt;=1,"0-1 days",IF(I599&lt;=7,"2-7 days",IF(I599&lt;=30,"8-30 days","&gt;30 days")))</f>
        <v>8-30 days</v>
      </c>
    </row>
    <row r="600" customFormat="false" ht="15" hidden="false" customHeight="false" outlineLevel="0" collapsed="false">
      <c r="A600" s="12" t="s">
        <v>841</v>
      </c>
      <c r="B600" s="12" t="n">
        <v>85</v>
      </c>
      <c r="C600" s="12" t="s">
        <v>34</v>
      </c>
      <c r="D600" s="12" t="s">
        <v>123</v>
      </c>
      <c r="E600" s="12" t="s">
        <v>243</v>
      </c>
      <c r="F600" s="12" t="s">
        <v>45</v>
      </c>
      <c r="G600" s="12" t="s">
        <v>38</v>
      </c>
      <c r="H600" s="12" t="s">
        <v>39</v>
      </c>
      <c r="I600" s="12" t="n">
        <v>3</v>
      </c>
      <c r="J600" s="12" t="s">
        <v>169</v>
      </c>
      <c r="K600" s="12" t="s">
        <v>48</v>
      </c>
      <c r="L600" s="12" t="str">
        <f aca="false">IF(OR(H600="Severe",H600="Life-Threatening"),"Yes","No")</f>
        <v>No</v>
      </c>
      <c r="M600" s="12" t="str">
        <f aca="false">IF(B600&lt;18,"0-17",IF(B600&lt;40,"18-39",IF(B600&lt;60,"40-59","60+")))</f>
        <v>60+</v>
      </c>
      <c r="N600" s="12" t="str">
        <f aca="false">IF(I600&lt;=1,"0-1 days",IF(I600&lt;=7,"2-7 days",IF(I600&lt;=30,"8-30 days","&gt;30 days")))</f>
        <v>2-7 days</v>
      </c>
    </row>
    <row r="601" customFormat="false" ht="15" hidden="false" customHeight="false" outlineLevel="0" collapsed="false">
      <c r="A601" s="12" t="s">
        <v>842</v>
      </c>
      <c r="B601" s="12" t="n">
        <v>49</v>
      </c>
      <c r="C601" s="12" t="s">
        <v>34</v>
      </c>
      <c r="D601" s="12" t="s">
        <v>474</v>
      </c>
      <c r="E601" s="12" t="s">
        <v>208</v>
      </c>
      <c r="F601" s="12" t="s">
        <v>641</v>
      </c>
      <c r="G601" s="12" t="s">
        <v>152</v>
      </c>
      <c r="H601" s="12" t="s">
        <v>39</v>
      </c>
      <c r="I601" s="12" t="n">
        <v>8</v>
      </c>
      <c r="J601" s="12" t="s">
        <v>169</v>
      </c>
      <c r="K601" s="12" t="s">
        <v>48</v>
      </c>
      <c r="L601" s="12" t="str">
        <f aca="false">IF(OR(H601="Severe",H601="Life-Threatening"),"Yes","No")</f>
        <v>No</v>
      </c>
      <c r="M601" s="12" t="str">
        <f aca="false">IF(B601&lt;18,"0-17",IF(B601&lt;40,"18-39",IF(B601&lt;60,"40-59","60+")))</f>
        <v>40-59</v>
      </c>
      <c r="N601" s="12" t="str">
        <f aca="false">IF(I601&lt;=1,"0-1 days",IF(I601&lt;=7,"2-7 days",IF(I601&lt;=30,"8-30 days","&gt;30 days")))</f>
        <v>8-30 days</v>
      </c>
    </row>
    <row r="602" customFormat="false" ht="15" hidden="false" customHeight="false" outlineLevel="0" collapsed="false">
      <c r="A602" s="12" t="s">
        <v>843</v>
      </c>
      <c r="B602" s="12" t="n">
        <v>40</v>
      </c>
      <c r="C602" s="12" t="s">
        <v>43</v>
      </c>
      <c r="D602" s="12" t="s">
        <v>50</v>
      </c>
      <c r="E602" s="12" t="s">
        <v>304</v>
      </c>
      <c r="F602" s="12" t="s">
        <v>305</v>
      </c>
      <c r="G602" s="12" t="s">
        <v>177</v>
      </c>
      <c r="H602" s="12" t="s">
        <v>39</v>
      </c>
      <c r="I602" s="12" t="n">
        <v>5</v>
      </c>
      <c r="J602" s="12" t="s">
        <v>40</v>
      </c>
      <c r="K602" s="12" t="s">
        <v>147</v>
      </c>
      <c r="L602" s="12" t="str">
        <f aca="false">IF(OR(H602="Severe",H602="Life-Threatening"),"Yes","No")</f>
        <v>No</v>
      </c>
      <c r="M602" s="12" t="str">
        <f aca="false">IF(B602&lt;18,"0-17",IF(B602&lt;40,"18-39",IF(B602&lt;60,"40-59","60+")))</f>
        <v>40-59</v>
      </c>
      <c r="N602" s="12" t="str">
        <f aca="false">IF(I602&lt;=1,"0-1 days",IF(I602&lt;=7,"2-7 days",IF(I602&lt;=30,"8-30 days","&gt;30 days")))</f>
        <v>2-7 days</v>
      </c>
    </row>
    <row r="603" customFormat="false" ht="15" hidden="false" customHeight="false" outlineLevel="0" collapsed="false">
      <c r="A603" s="12" t="s">
        <v>844</v>
      </c>
      <c r="B603" s="12" t="n">
        <v>55</v>
      </c>
      <c r="C603" s="12" t="s">
        <v>43</v>
      </c>
      <c r="D603" s="12" t="s">
        <v>117</v>
      </c>
      <c r="E603" s="12" t="s">
        <v>266</v>
      </c>
      <c r="F603" s="12" t="s">
        <v>103</v>
      </c>
      <c r="G603" s="12" t="s">
        <v>104</v>
      </c>
      <c r="H603" s="12" t="s">
        <v>76</v>
      </c>
      <c r="I603" s="12" t="n">
        <v>35</v>
      </c>
      <c r="J603" s="12" t="s">
        <v>47</v>
      </c>
      <c r="K603" s="12" t="s">
        <v>63</v>
      </c>
      <c r="L603" s="12" t="str">
        <f aca="false">IF(OR(H603="Severe",H603="Life-Threatening"),"Yes","No")</f>
        <v>Yes</v>
      </c>
      <c r="M603" s="12" t="str">
        <f aca="false">IF(B603&lt;18,"0-17",IF(B603&lt;40,"18-39",IF(B603&lt;60,"40-59","60+")))</f>
        <v>40-59</v>
      </c>
      <c r="N603" s="12" t="str">
        <f aca="false">IF(I603&lt;=1,"0-1 days",IF(I603&lt;=7,"2-7 days",IF(I603&lt;=30,"8-30 days","&gt;30 days")))</f>
        <v>&gt;30 days</v>
      </c>
    </row>
    <row r="604" customFormat="false" ht="15" hidden="false" customHeight="false" outlineLevel="0" collapsed="false">
      <c r="A604" s="12" t="s">
        <v>845</v>
      </c>
      <c r="B604" s="12" t="n">
        <v>36</v>
      </c>
      <c r="C604" s="12" t="s">
        <v>43</v>
      </c>
      <c r="D604" s="12" t="s">
        <v>144</v>
      </c>
      <c r="E604" s="12" t="s">
        <v>92</v>
      </c>
      <c r="F604" s="12" t="s">
        <v>93</v>
      </c>
      <c r="G604" s="12" t="s">
        <v>94</v>
      </c>
      <c r="H604" s="12" t="s">
        <v>39</v>
      </c>
      <c r="I604" s="12" t="n">
        <v>32</v>
      </c>
      <c r="J604" s="12" t="s">
        <v>40</v>
      </c>
      <c r="K604" s="12" t="s">
        <v>48</v>
      </c>
      <c r="L604" s="12" t="str">
        <f aca="false">IF(OR(H604="Severe",H604="Life-Threatening"),"Yes","No")</f>
        <v>No</v>
      </c>
      <c r="M604" s="12" t="str">
        <f aca="false">IF(B604&lt;18,"0-17",IF(B604&lt;40,"18-39",IF(B604&lt;60,"40-59","60+")))</f>
        <v>18-39</v>
      </c>
      <c r="N604" s="12" t="str">
        <f aca="false">IF(I604&lt;=1,"0-1 days",IF(I604&lt;=7,"2-7 days",IF(I604&lt;=30,"8-30 days","&gt;30 days")))</f>
        <v>&gt;30 days</v>
      </c>
    </row>
    <row r="605" customFormat="false" ht="15" hidden="false" customHeight="false" outlineLevel="0" collapsed="false">
      <c r="A605" s="12" t="s">
        <v>846</v>
      </c>
      <c r="B605" s="12" t="n">
        <v>55</v>
      </c>
      <c r="C605" s="12" t="s">
        <v>43</v>
      </c>
      <c r="D605" s="12" t="s">
        <v>55</v>
      </c>
      <c r="E605" s="12" t="s">
        <v>261</v>
      </c>
      <c r="F605" s="12" t="s">
        <v>45</v>
      </c>
      <c r="G605" s="12" t="s">
        <v>38</v>
      </c>
      <c r="H605" s="12" t="s">
        <v>46</v>
      </c>
      <c r="I605" s="12" t="n">
        <v>12</v>
      </c>
      <c r="J605" s="12" t="s">
        <v>40</v>
      </c>
      <c r="K605" s="12" t="s">
        <v>48</v>
      </c>
      <c r="L605" s="12" t="str">
        <f aca="false">IF(OR(H605="Severe",H605="Life-Threatening"),"Yes","No")</f>
        <v>No</v>
      </c>
      <c r="M605" s="12" t="str">
        <f aca="false">IF(B605&lt;18,"0-17",IF(B605&lt;40,"18-39",IF(B605&lt;60,"40-59","60+")))</f>
        <v>40-59</v>
      </c>
      <c r="N605" s="12" t="str">
        <f aca="false">IF(I605&lt;=1,"0-1 days",IF(I605&lt;=7,"2-7 days",IF(I605&lt;=30,"8-30 days","&gt;30 days")))</f>
        <v>8-30 days</v>
      </c>
    </row>
    <row r="606" customFormat="false" ht="15" hidden="false" customHeight="false" outlineLevel="0" collapsed="false">
      <c r="A606" s="12" t="s">
        <v>847</v>
      </c>
      <c r="B606" s="12" t="n">
        <v>13</v>
      </c>
      <c r="C606" s="12" t="s">
        <v>43</v>
      </c>
      <c r="D606" s="12" t="s">
        <v>35</v>
      </c>
      <c r="E606" s="12" t="s">
        <v>268</v>
      </c>
      <c r="F606" s="12" t="s">
        <v>269</v>
      </c>
      <c r="G606" s="12" t="s">
        <v>38</v>
      </c>
      <c r="H606" s="12" t="s">
        <v>76</v>
      </c>
      <c r="I606" s="12" t="n">
        <v>22</v>
      </c>
      <c r="J606" s="12" t="s">
        <v>40</v>
      </c>
      <c r="K606" s="12" t="s">
        <v>48</v>
      </c>
      <c r="L606" s="12" t="str">
        <f aca="false">IF(OR(H606="Severe",H606="Life-Threatening"),"Yes","No")</f>
        <v>Yes</v>
      </c>
      <c r="M606" s="12" t="str">
        <f aca="false">IF(B606&lt;18,"0-17",IF(B606&lt;40,"18-39",IF(B606&lt;60,"40-59","60+")))</f>
        <v>0-17</v>
      </c>
      <c r="N606" s="12" t="str">
        <f aca="false">IF(I606&lt;=1,"0-1 days",IF(I606&lt;=7,"2-7 days",IF(I606&lt;=30,"8-30 days","&gt;30 days")))</f>
        <v>8-30 days</v>
      </c>
    </row>
    <row r="607" customFormat="false" ht="15" hidden="false" customHeight="false" outlineLevel="0" collapsed="false">
      <c r="A607" s="12" t="s">
        <v>848</v>
      </c>
      <c r="B607" s="12" t="n">
        <v>85</v>
      </c>
      <c r="C607" s="12" t="s">
        <v>34</v>
      </c>
      <c r="D607" s="12" t="s">
        <v>35</v>
      </c>
      <c r="E607" s="12" t="s">
        <v>173</v>
      </c>
      <c r="F607" s="12" t="s">
        <v>114</v>
      </c>
      <c r="G607" s="12" t="s">
        <v>115</v>
      </c>
      <c r="H607" s="12" t="s">
        <v>59</v>
      </c>
      <c r="I607" s="12" t="n">
        <v>8</v>
      </c>
      <c r="J607" s="12" t="s">
        <v>47</v>
      </c>
      <c r="K607" s="12" t="s">
        <v>48</v>
      </c>
      <c r="L607" s="12" t="str">
        <f aca="false">IF(OR(H607="Severe",H607="Life-Threatening"),"Yes","No")</f>
        <v>Yes</v>
      </c>
      <c r="M607" s="12" t="str">
        <f aca="false">IF(B607&lt;18,"0-17",IF(B607&lt;40,"18-39",IF(B607&lt;60,"40-59","60+")))</f>
        <v>60+</v>
      </c>
      <c r="N607" s="12" t="str">
        <f aca="false">IF(I607&lt;=1,"0-1 days",IF(I607&lt;=7,"2-7 days",IF(I607&lt;=30,"8-30 days","&gt;30 days")))</f>
        <v>8-30 days</v>
      </c>
    </row>
    <row r="608" customFormat="false" ht="15" hidden="false" customHeight="false" outlineLevel="0" collapsed="false">
      <c r="A608" s="12" t="s">
        <v>849</v>
      </c>
      <c r="B608" s="12" t="n">
        <v>21</v>
      </c>
      <c r="C608" s="12" t="s">
        <v>43</v>
      </c>
      <c r="D608" s="12" t="s">
        <v>102</v>
      </c>
      <c r="E608" s="12" t="s">
        <v>225</v>
      </c>
      <c r="F608" s="12" t="s">
        <v>235</v>
      </c>
      <c r="G608" s="12" t="s">
        <v>53</v>
      </c>
      <c r="H608" s="12" t="s">
        <v>39</v>
      </c>
      <c r="I608" s="12" t="n">
        <v>2</v>
      </c>
      <c r="J608" s="12" t="s">
        <v>169</v>
      </c>
      <c r="K608" s="12" t="s">
        <v>63</v>
      </c>
      <c r="L608" s="12" t="str">
        <f aca="false">IF(OR(H608="Severe",H608="Life-Threatening"),"Yes","No")</f>
        <v>No</v>
      </c>
      <c r="M608" s="12" t="str">
        <f aca="false">IF(B608&lt;18,"0-17",IF(B608&lt;40,"18-39",IF(B608&lt;60,"40-59","60+")))</f>
        <v>18-39</v>
      </c>
      <c r="N608" s="12" t="str">
        <f aca="false">IF(I608&lt;=1,"0-1 days",IF(I608&lt;=7,"2-7 days",IF(I608&lt;=30,"8-30 days","&gt;30 days")))</f>
        <v>2-7 days</v>
      </c>
    </row>
    <row r="609" customFormat="false" ht="15" hidden="false" customHeight="false" outlineLevel="0" collapsed="false">
      <c r="A609" s="12" t="s">
        <v>850</v>
      </c>
      <c r="B609" s="12" t="n">
        <v>44</v>
      </c>
      <c r="C609" s="12" t="s">
        <v>43</v>
      </c>
      <c r="D609" s="12" t="s">
        <v>55</v>
      </c>
      <c r="E609" s="12" t="s">
        <v>272</v>
      </c>
      <c r="F609" s="12" t="s">
        <v>114</v>
      </c>
      <c r="G609" s="12" t="s">
        <v>115</v>
      </c>
      <c r="H609" s="12" t="s">
        <v>76</v>
      </c>
      <c r="I609" s="12" t="n">
        <v>26</v>
      </c>
      <c r="J609" s="12" t="s">
        <v>47</v>
      </c>
      <c r="K609" s="12" t="s">
        <v>48</v>
      </c>
      <c r="L609" s="12" t="str">
        <f aca="false">IF(OR(H609="Severe",H609="Life-Threatening"),"Yes","No")</f>
        <v>Yes</v>
      </c>
      <c r="M609" s="12" t="str">
        <f aca="false">IF(B609&lt;18,"0-17",IF(B609&lt;40,"18-39",IF(B609&lt;60,"40-59","60+")))</f>
        <v>40-59</v>
      </c>
      <c r="N609" s="12" t="str">
        <f aca="false">IF(I609&lt;=1,"0-1 days",IF(I609&lt;=7,"2-7 days",IF(I609&lt;=30,"8-30 days","&gt;30 days")))</f>
        <v>8-30 days</v>
      </c>
    </row>
    <row r="610" customFormat="false" ht="15" hidden="false" customHeight="false" outlineLevel="0" collapsed="false">
      <c r="A610" s="12" t="s">
        <v>851</v>
      </c>
      <c r="B610" s="12" t="n">
        <v>40</v>
      </c>
      <c r="C610" s="12" t="s">
        <v>34</v>
      </c>
      <c r="D610" s="12" t="s">
        <v>35</v>
      </c>
      <c r="E610" s="12" t="s">
        <v>268</v>
      </c>
      <c r="F610" s="12" t="s">
        <v>269</v>
      </c>
      <c r="G610" s="12" t="s">
        <v>38</v>
      </c>
      <c r="H610" s="12" t="s">
        <v>76</v>
      </c>
      <c r="I610" s="12" t="n">
        <v>26</v>
      </c>
      <c r="J610" s="12" t="s">
        <v>47</v>
      </c>
      <c r="K610" s="12" t="s">
        <v>41</v>
      </c>
      <c r="L610" s="12" t="str">
        <f aca="false">IF(OR(H610="Severe",H610="Life-Threatening"),"Yes","No")</f>
        <v>Yes</v>
      </c>
      <c r="M610" s="12" t="str">
        <f aca="false">IF(B610&lt;18,"0-17",IF(B610&lt;40,"18-39",IF(B610&lt;60,"40-59","60+")))</f>
        <v>40-59</v>
      </c>
      <c r="N610" s="12" t="str">
        <f aca="false">IF(I610&lt;=1,"0-1 days",IF(I610&lt;=7,"2-7 days",IF(I610&lt;=30,"8-30 days","&gt;30 days")))</f>
        <v>8-30 days</v>
      </c>
    </row>
    <row r="611" customFormat="false" ht="15" hidden="false" customHeight="false" outlineLevel="0" collapsed="false">
      <c r="A611" s="12" t="s">
        <v>852</v>
      </c>
      <c r="B611" s="12" t="n">
        <v>48</v>
      </c>
      <c r="C611" s="12" t="s">
        <v>43</v>
      </c>
      <c r="D611" s="12" t="s">
        <v>245</v>
      </c>
      <c r="E611" s="12" t="s">
        <v>74</v>
      </c>
      <c r="F611" s="12" t="s">
        <v>75</v>
      </c>
      <c r="G611" s="12" t="s">
        <v>58</v>
      </c>
      <c r="H611" s="12" t="s">
        <v>59</v>
      </c>
      <c r="I611" s="12" t="n">
        <v>1</v>
      </c>
      <c r="J611" s="12" t="s">
        <v>40</v>
      </c>
      <c r="K611" s="12" t="s">
        <v>63</v>
      </c>
      <c r="L611" s="12" t="str">
        <f aca="false">IF(OR(H611="Severe",H611="Life-Threatening"),"Yes","No")</f>
        <v>Yes</v>
      </c>
      <c r="M611" s="12" t="str">
        <f aca="false">IF(B611&lt;18,"0-17",IF(B611&lt;40,"18-39",IF(B611&lt;60,"40-59","60+")))</f>
        <v>40-59</v>
      </c>
      <c r="N611" s="12" t="str">
        <f aca="false">IF(I611&lt;=1,"0-1 days",IF(I611&lt;=7,"2-7 days",IF(I611&lt;=30,"8-30 days","&gt;30 days")))</f>
        <v>0-1 days</v>
      </c>
    </row>
    <row r="612" customFormat="false" ht="15" hidden="false" customHeight="false" outlineLevel="0" collapsed="false">
      <c r="A612" s="12" t="s">
        <v>853</v>
      </c>
      <c r="B612" s="12" t="n">
        <v>44</v>
      </c>
      <c r="C612" s="12" t="s">
        <v>43</v>
      </c>
      <c r="D612" s="12" t="s">
        <v>55</v>
      </c>
      <c r="E612" s="12" t="s">
        <v>268</v>
      </c>
      <c r="F612" s="12" t="s">
        <v>364</v>
      </c>
      <c r="G612" s="12" t="s">
        <v>38</v>
      </c>
      <c r="H612" s="12" t="s">
        <v>76</v>
      </c>
      <c r="I612" s="12" t="n">
        <v>11</v>
      </c>
      <c r="J612" s="12" t="s">
        <v>47</v>
      </c>
      <c r="K612" s="12" t="s">
        <v>63</v>
      </c>
      <c r="L612" s="12" t="str">
        <f aca="false">IF(OR(H612="Severe",H612="Life-Threatening"),"Yes","No")</f>
        <v>Yes</v>
      </c>
      <c r="M612" s="12" t="str">
        <f aca="false">IF(B612&lt;18,"0-17",IF(B612&lt;40,"18-39",IF(B612&lt;60,"40-59","60+")))</f>
        <v>40-59</v>
      </c>
      <c r="N612" s="12" t="str">
        <f aca="false">IF(I612&lt;=1,"0-1 days",IF(I612&lt;=7,"2-7 days",IF(I612&lt;=30,"8-30 days","&gt;30 days")))</f>
        <v>8-30 days</v>
      </c>
    </row>
    <row r="613" customFormat="false" ht="15" hidden="false" customHeight="false" outlineLevel="0" collapsed="false">
      <c r="A613" s="12" t="s">
        <v>854</v>
      </c>
      <c r="B613" s="12" t="n">
        <v>26</v>
      </c>
      <c r="C613" s="12" t="s">
        <v>34</v>
      </c>
      <c r="D613" s="12" t="s">
        <v>155</v>
      </c>
      <c r="E613" s="12" t="s">
        <v>272</v>
      </c>
      <c r="F613" s="12" t="s">
        <v>114</v>
      </c>
      <c r="G613" s="12" t="s">
        <v>115</v>
      </c>
      <c r="H613" s="12" t="s">
        <v>76</v>
      </c>
      <c r="I613" s="12" t="n">
        <v>7</v>
      </c>
      <c r="J613" s="12" t="s">
        <v>169</v>
      </c>
      <c r="K613" s="12" t="s">
        <v>48</v>
      </c>
      <c r="L613" s="12" t="str">
        <f aca="false">IF(OR(H613="Severe",H613="Life-Threatening"),"Yes","No")</f>
        <v>Yes</v>
      </c>
      <c r="M613" s="12" t="str">
        <f aca="false">IF(B613&lt;18,"0-17",IF(B613&lt;40,"18-39",IF(B613&lt;60,"40-59","60+")))</f>
        <v>18-39</v>
      </c>
      <c r="N613" s="12" t="str">
        <f aca="false">IF(I613&lt;=1,"0-1 days",IF(I613&lt;=7,"2-7 days",IF(I613&lt;=30,"8-30 days","&gt;30 days")))</f>
        <v>2-7 days</v>
      </c>
    </row>
    <row r="614" customFormat="false" ht="15" hidden="false" customHeight="false" outlineLevel="0" collapsed="false">
      <c r="A614" s="12" t="s">
        <v>855</v>
      </c>
      <c r="B614" s="12" t="n">
        <v>75</v>
      </c>
      <c r="C614" s="12" t="s">
        <v>34</v>
      </c>
      <c r="D614" s="12" t="s">
        <v>155</v>
      </c>
      <c r="E614" s="12" t="s">
        <v>352</v>
      </c>
      <c r="F614" s="12" t="s">
        <v>171</v>
      </c>
      <c r="G614" s="12" t="s">
        <v>53</v>
      </c>
      <c r="H614" s="12" t="s">
        <v>76</v>
      </c>
      <c r="I614" s="12" t="n">
        <v>1</v>
      </c>
      <c r="J614" s="12" t="s">
        <v>67</v>
      </c>
      <c r="K614" s="12" t="s">
        <v>41</v>
      </c>
      <c r="L614" s="12" t="str">
        <f aca="false">IF(OR(H614="Severe",H614="Life-Threatening"),"Yes","No")</f>
        <v>Yes</v>
      </c>
      <c r="M614" s="12" t="str">
        <f aca="false">IF(B614&lt;18,"0-17",IF(B614&lt;40,"18-39",IF(B614&lt;60,"40-59","60+")))</f>
        <v>60+</v>
      </c>
      <c r="N614" s="12" t="str">
        <f aca="false">IF(I614&lt;=1,"0-1 days",IF(I614&lt;=7,"2-7 days",IF(I614&lt;=30,"8-30 days","&gt;30 days")))</f>
        <v>0-1 days</v>
      </c>
    </row>
    <row r="615" customFormat="false" ht="15" hidden="false" customHeight="false" outlineLevel="0" collapsed="false">
      <c r="A615" s="12" t="s">
        <v>856</v>
      </c>
      <c r="B615" s="12" t="n">
        <v>39</v>
      </c>
      <c r="C615" s="12" t="s">
        <v>34</v>
      </c>
      <c r="D615" s="12" t="s">
        <v>55</v>
      </c>
      <c r="E615" s="12" t="s">
        <v>266</v>
      </c>
      <c r="F615" s="12" t="s">
        <v>214</v>
      </c>
      <c r="G615" s="12" t="s">
        <v>115</v>
      </c>
      <c r="H615" s="12" t="s">
        <v>39</v>
      </c>
      <c r="I615" s="12" t="n">
        <v>10</v>
      </c>
      <c r="J615" s="12" t="s">
        <v>40</v>
      </c>
      <c r="K615" s="12" t="s">
        <v>48</v>
      </c>
      <c r="L615" s="12" t="str">
        <f aca="false">IF(OR(H615="Severe",H615="Life-Threatening"),"Yes","No")</f>
        <v>No</v>
      </c>
      <c r="M615" s="12" t="str">
        <f aca="false">IF(B615&lt;18,"0-17",IF(B615&lt;40,"18-39",IF(B615&lt;60,"40-59","60+")))</f>
        <v>18-39</v>
      </c>
      <c r="N615" s="12" t="str">
        <f aca="false">IF(I615&lt;=1,"0-1 days",IF(I615&lt;=7,"2-7 days",IF(I615&lt;=30,"8-30 days","&gt;30 days")))</f>
        <v>8-30 days</v>
      </c>
    </row>
    <row r="616" customFormat="false" ht="15" hidden="false" customHeight="false" outlineLevel="0" collapsed="false">
      <c r="A616" s="12" t="s">
        <v>857</v>
      </c>
      <c r="B616" s="12" t="n">
        <v>42</v>
      </c>
      <c r="C616" s="12" t="s">
        <v>43</v>
      </c>
      <c r="D616" s="12" t="s">
        <v>194</v>
      </c>
      <c r="E616" s="12" t="s">
        <v>225</v>
      </c>
      <c r="F616" s="12" t="s">
        <v>139</v>
      </c>
      <c r="G616" s="12" t="s">
        <v>38</v>
      </c>
      <c r="H616" s="12" t="s">
        <v>39</v>
      </c>
      <c r="I616" s="12" t="n">
        <v>3</v>
      </c>
      <c r="J616" s="12" t="s">
        <v>40</v>
      </c>
      <c r="K616" s="12" t="s">
        <v>48</v>
      </c>
      <c r="L616" s="12" t="str">
        <f aca="false">IF(OR(H616="Severe",H616="Life-Threatening"),"Yes","No")</f>
        <v>No</v>
      </c>
      <c r="M616" s="12" t="str">
        <f aca="false">IF(B616&lt;18,"0-17",IF(B616&lt;40,"18-39",IF(B616&lt;60,"40-59","60+")))</f>
        <v>40-59</v>
      </c>
      <c r="N616" s="12" t="str">
        <f aca="false">IF(I616&lt;=1,"0-1 days",IF(I616&lt;=7,"2-7 days",IF(I616&lt;=30,"8-30 days","&gt;30 days")))</f>
        <v>2-7 days</v>
      </c>
    </row>
    <row r="617" customFormat="false" ht="15" hidden="false" customHeight="false" outlineLevel="0" collapsed="false">
      <c r="A617" s="12" t="s">
        <v>858</v>
      </c>
      <c r="B617" s="12" t="n">
        <v>31</v>
      </c>
      <c r="C617" s="12" t="s">
        <v>43</v>
      </c>
      <c r="D617" s="12" t="s">
        <v>50</v>
      </c>
      <c r="E617" s="12" t="s">
        <v>268</v>
      </c>
      <c r="F617" s="12" t="s">
        <v>364</v>
      </c>
      <c r="G617" s="12" t="s">
        <v>38</v>
      </c>
      <c r="H617" s="12" t="s">
        <v>39</v>
      </c>
      <c r="I617" s="12" t="n">
        <v>6</v>
      </c>
      <c r="J617" s="12" t="s">
        <v>47</v>
      </c>
      <c r="K617" s="12" t="s">
        <v>48</v>
      </c>
      <c r="L617" s="12" t="str">
        <f aca="false">IF(OR(H617="Severe",H617="Life-Threatening"),"Yes","No")</f>
        <v>No</v>
      </c>
      <c r="M617" s="12" t="str">
        <f aca="false">IF(B617&lt;18,"0-17",IF(B617&lt;40,"18-39",IF(B617&lt;60,"40-59","60+")))</f>
        <v>18-39</v>
      </c>
      <c r="N617" s="12" t="str">
        <f aca="false">IF(I617&lt;=1,"0-1 days",IF(I617&lt;=7,"2-7 days",IF(I617&lt;=30,"8-30 days","&gt;30 days")))</f>
        <v>2-7 days</v>
      </c>
    </row>
    <row r="618" customFormat="false" ht="15" hidden="false" customHeight="false" outlineLevel="0" collapsed="false">
      <c r="A618" s="12" t="s">
        <v>859</v>
      </c>
      <c r="B618" s="12" t="n">
        <v>51</v>
      </c>
      <c r="C618" s="12" t="s">
        <v>43</v>
      </c>
      <c r="D618" s="12" t="s">
        <v>99</v>
      </c>
      <c r="E618" s="12" t="s">
        <v>386</v>
      </c>
      <c r="F618" s="12" t="s">
        <v>531</v>
      </c>
      <c r="G618" s="12" t="s">
        <v>94</v>
      </c>
      <c r="H618" s="12" t="s">
        <v>39</v>
      </c>
      <c r="I618" s="12" t="n">
        <v>14</v>
      </c>
      <c r="J618" s="12" t="s">
        <v>40</v>
      </c>
      <c r="K618" s="12" t="s">
        <v>48</v>
      </c>
      <c r="L618" s="12" t="str">
        <f aca="false">IF(OR(H618="Severe",H618="Life-Threatening"),"Yes","No")</f>
        <v>No</v>
      </c>
      <c r="M618" s="12" t="str">
        <f aca="false">IF(B618&lt;18,"0-17",IF(B618&lt;40,"18-39",IF(B618&lt;60,"40-59","60+")))</f>
        <v>40-59</v>
      </c>
      <c r="N618" s="12" t="str">
        <f aca="false">IF(I618&lt;=1,"0-1 days",IF(I618&lt;=7,"2-7 days",IF(I618&lt;=30,"8-30 days","&gt;30 days")))</f>
        <v>8-30 days</v>
      </c>
    </row>
    <row r="619" customFormat="false" ht="15" hidden="false" customHeight="false" outlineLevel="0" collapsed="false">
      <c r="A619" s="12" t="s">
        <v>860</v>
      </c>
      <c r="B619" s="12" t="n">
        <v>50</v>
      </c>
      <c r="C619" s="12" t="s">
        <v>34</v>
      </c>
      <c r="D619" s="12" t="s">
        <v>117</v>
      </c>
      <c r="E619" s="12" t="s">
        <v>173</v>
      </c>
      <c r="F619" s="12" t="s">
        <v>114</v>
      </c>
      <c r="G619" s="12" t="s">
        <v>115</v>
      </c>
      <c r="H619" s="12" t="s">
        <v>76</v>
      </c>
      <c r="I619" s="12" t="n">
        <v>36</v>
      </c>
      <c r="J619" s="12" t="s">
        <v>40</v>
      </c>
      <c r="K619" s="12" t="s">
        <v>48</v>
      </c>
      <c r="L619" s="12" t="str">
        <f aca="false">IF(OR(H619="Severe",H619="Life-Threatening"),"Yes","No")</f>
        <v>Yes</v>
      </c>
      <c r="M619" s="12" t="str">
        <f aca="false">IF(B619&lt;18,"0-17",IF(B619&lt;40,"18-39",IF(B619&lt;60,"40-59","60+")))</f>
        <v>40-59</v>
      </c>
      <c r="N619" s="12" t="str">
        <f aca="false">IF(I619&lt;=1,"0-1 days",IF(I619&lt;=7,"2-7 days",IF(I619&lt;=30,"8-30 days","&gt;30 days")))</f>
        <v>&gt;30 days</v>
      </c>
    </row>
    <row r="620" customFormat="false" ht="15" hidden="false" customHeight="false" outlineLevel="0" collapsed="false">
      <c r="A620" s="12" t="s">
        <v>861</v>
      </c>
      <c r="B620" s="12" t="n">
        <v>11</v>
      </c>
      <c r="C620" s="12" t="s">
        <v>43</v>
      </c>
      <c r="D620" s="12" t="s">
        <v>211</v>
      </c>
      <c r="E620" s="12" t="s">
        <v>398</v>
      </c>
      <c r="F620" s="12" t="s">
        <v>364</v>
      </c>
      <c r="G620" s="12" t="s">
        <v>38</v>
      </c>
      <c r="H620" s="12" t="s">
        <v>76</v>
      </c>
      <c r="I620" s="12" t="n">
        <v>18</v>
      </c>
      <c r="J620" s="12" t="s">
        <v>47</v>
      </c>
      <c r="K620" s="12" t="s">
        <v>63</v>
      </c>
      <c r="L620" s="12" t="str">
        <f aca="false">IF(OR(H620="Severe",H620="Life-Threatening"),"Yes","No")</f>
        <v>Yes</v>
      </c>
      <c r="M620" s="12" t="str">
        <f aca="false">IF(B620&lt;18,"0-17",IF(B620&lt;40,"18-39",IF(B620&lt;60,"40-59","60+")))</f>
        <v>0-17</v>
      </c>
      <c r="N620" s="12" t="str">
        <f aca="false">IF(I620&lt;=1,"0-1 days",IF(I620&lt;=7,"2-7 days",IF(I620&lt;=30,"8-30 days","&gt;30 days")))</f>
        <v>8-30 days</v>
      </c>
    </row>
    <row r="621" customFormat="false" ht="15" hidden="false" customHeight="false" outlineLevel="0" collapsed="false">
      <c r="A621" s="12" t="s">
        <v>862</v>
      </c>
      <c r="B621" s="12" t="n">
        <v>44</v>
      </c>
      <c r="C621" s="12" t="s">
        <v>34</v>
      </c>
      <c r="D621" s="12" t="s">
        <v>126</v>
      </c>
      <c r="E621" s="12" t="s">
        <v>56</v>
      </c>
      <c r="F621" s="12" t="s">
        <v>100</v>
      </c>
      <c r="G621" s="12" t="s">
        <v>72</v>
      </c>
      <c r="H621" s="12" t="s">
        <v>39</v>
      </c>
      <c r="I621" s="12" t="n">
        <v>25</v>
      </c>
      <c r="J621" s="12" t="s">
        <v>40</v>
      </c>
      <c r="K621" s="12" t="s">
        <v>41</v>
      </c>
      <c r="L621" s="12" t="str">
        <f aca="false">IF(OR(H621="Severe",H621="Life-Threatening"),"Yes","No")</f>
        <v>No</v>
      </c>
      <c r="M621" s="12" t="str">
        <f aca="false">IF(B621&lt;18,"0-17",IF(B621&lt;40,"18-39",IF(B621&lt;60,"40-59","60+")))</f>
        <v>40-59</v>
      </c>
      <c r="N621" s="12" t="str">
        <f aca="false">IF(I621&lt;=1,"0-1 days",IF(I621&lt;=7,"2-7 days",IF(I621&lt;=30,"8-30 days","&gt;30 days")))</f>
        <v>8-30 days</v>
      </c>
    </row>
    <row r="622" customFormat="false" ht="15" hidden="false" customHeight="false" outlineLevel="0" collapsed="false">
      <c r="A622" s="12" t="s">
        <v>863</v>
      </c>
      <c r="B622" s="12" t="n">
        <v>52</v>
      </c>
      <c r="C622" s="12" t="s">
        <v>43</v>
      </c>
      <c r="D622" s="12" t="s">
        <v>474</v>
      </c>
      <c r="E622" s="12" t="s">
        <v>158</v>
      </c>
      <c r="F622" s="12" t="s">
        <v>62</v>
      </c>
      <c r="G622" s="12" t="s">
        <v>53</v>
      </c>
      <c r="H622" s="12" t="s">
        <v>76</v>
      </c>
      <c r="I622" s="12" t="n">
        <v>1</v>
      </c>
      <c r="J622" s="12" t="s">
        <v>67</v>
      </c>
      <c r="K622" s="12" t="s">
        <v>63</v>
      </c>
      <c r="L622" s="12" t="str">
        <f aca="false">IF(OR(H622="Severe",H622="Life-Threatening"),"Yes","No")</f>
        <v>Yes</v>
      </c>
      <c r="M622" s="12" t="str">
        <f aca="false">IF(B622&lt;18,"0-17",IF(B622&lt;40,"18-39",IF(B622&lt;60,"40-59","60+")))</f>
        <v>40-59</v>
      </c>
      <c r="N622" s="12" t="str">
        <f aca="false">IF(I622&lt;=1,"0-1 days",IF(I622&lt;=7,"2-7 days",IF(I622&lt;=30,"8-30 days","&gt;30 days")))</f>
        <v>0-1 days</v>
      </c>
    </row>
    <row r="623" customFormat="false" ht="15" hidden="false" customHeight="false" outlineLevel="0" collapsed="false">
      <c r="A623" s="12" t="s">
        <v>864</v>
      </c>
      <c r="B623" s="12" t="n">
        <v>22</v>
      </c>
      <c r="C623" s="12" t="s">
        <v>34</v>
      </c>
      <c r="D623" s="12" t="s">
        <v>196</v>
      </c>
      <c r="E623" s="12" t="s">
        <v>96</v>
      </c>
      <c r="F623" s="12" t="s">
        <v>97</v>
      </c>
      <c r="G623" s="12" t="s">
        <v>94</v>
      </c>
      <c r="H623" s="12" t="s">
        <v>76</v>
      </c>
      <c r="I623" s="12" t="n">
        <v>17</v>
      </c>
      <c r="J623" s="12" t="s">
        <v>67</v>
      </c>
      <c r="K623" s="12" t="s">
        <v>63</v>
      </c>
      <c r="L623" s="12" t="str">
        <f aca="false">IF(OR(H623="Severe",H623="Life-Threatening"),"Yes","No")</f>
        <v>Yes</v>
      </c>
      <c r="M623" s="12" t="str">
        <f aca="false">IF(B623&lt;18,"0-17",IF(B623&lt;40,"18-39",IF(B623&lt;60,"40-59","60+")))</f>
        <v>18-39</v>
      </c>
      <c r="N623" s="12" t="str">
        <f aca="false">IF(I623&lt;=1,"0-1 days",IF(I623&lt;=7,"2-7 days",IF(I623&lt;=30,"8-30 days","&gt;30 days")))</f>
        <v>8-30 days</v>
      </c>
    </row>
    <row r="624" customFormat="false" ht="15" hidden="false" customHeight="false" outlineLevel="0" collapsed="false">
      <c r="A624" s="12" t="s">
        <v>865</v>
      </c>
      <c r="B624" s="12" t="n">
        <v>16</v>
      </c>
      <c r="C624" s="12" t="s">
        <v>43</v>
      </c>
      <c r="D624" s="12" t="s">
        <v>50</v>
      </c>
      <c r="E624" s="12" t="s">
        <v>386</v>
      </c>
      <c r="F624" s="12" t="s">
        <v>114</v>
      </c>
      <c r="G624" s="12" t="s">
        <v>115</v>
      </c>
      <c r="H624" s="12" t="s">
        <v>76</v>
      </c>
      <c r="I624" s="12" t="n">
        <v>44</v>
      </c>
      <c r="J624" s="12" t="s">
        <v>47</v>
      </c>
      <c r="K624" s="12" t="s">
        <v>48</v>
      </c>
      <c r="L624" s="12" t="str">
        <f aca="false">IF(OR(H624="Severe",H624="Life-Threatening"),"Yes","No")</f>
        <v>Yes</v>
      </c>
      <c r="M624" s="12" t="str">
        <f aca="false">IF(B624&lt;18,"0-17",IF(B624&lt;40,"18-39",IF(B624&lt;60,"40-59","60+")))</f>
        <v>0-17</v>
      </c>
      <c r="N624" s="12" t="str">
        <f aca="false">IF(I624&lt;=1,"0-1 days",IF(I624&lt;=7,"2-7 days",IF(I624&lt;=30,"8-30 days","&gt;30 days")))</f>
        <v>&gt;30 days</v>
      </c>
    </row>
    <row r="625" customFormat="false" ht="15" hidden="false" customHeight="false" outlineLevel="0" collapsed="false">
      <c r="A625" s="12" t="s">
        <v>866</v>
      </c>
      <c r="B625" s="12" t="n">
        <v>38</v>
      </c>
      <c r="C625" s="12" t="s">
        <v>43</v>
      </c>
      <c r="D625" s="12" t="s">
        <v>155</v>
      </c>
      <c r="E625" s="12" t="s">
        <v>369</v>
      </c>
      <c r="F625" s="12" t="s">
        <v>62</v>
      </c>
      <c r="G625" s="12" t="s">
        <v>53</v>
      </c>
      <c r="H625" s="12" t="s">
        <v>46</v>
      </c>
      <c r="I625" s="12" t="n">
        <v>15</v>
      </c>
      <c r="J625" s="12" t="s">
        <v>40</v>
      </c>
      <c r="K625" s="12" t="s">
        <v>41</v>
      </c>
      <c r="L625" s="12" t="str">
        <f aca="false">IF(OR(H625="Severe",H625="Life-Threatening"),"Yes","No")</f>
        <v>No</v>
      </c>
      <c r="M625" s="12" t="str">
        <f aca="false">IF(B625&lt;18,"0-17",IF(B625&lt;40,"18-39",IF(B625&lt;60,"40-59","60+")))</f>
        <v>18-39</v>
      </c>
      <c r="N625" s="12" t="str">
        <f aca="false">IF(I625&lt;=1,"0-1 days",IF(I625&lt;=7,"2-7 days",IF(I625&lt;=30,"8-30 days","&gt;30 days")))</f>
        <v>8-30 days</v>
      </c>
    </row>
    <row r="626" customFormat="false" ht="15" hidden="false" customHeight="false" outlineLevel="0" collapsed="false">
      <c r="A626" s="12" t="s">
        <v>867</v>
      </c>
      <c r="B626" s="12" t="n">
        <v>63</v>
      </c>
      <c r="C626" s="12" t="s">
        <v>43</v>
      </c>
      <c r="D626" s="12" t="s">
        <v>69</v>
      </c>
      <c r="E626" s="12" t="s">
        <v>369</v>
      </c>
      <c r="F626" s="12" t="s">
        <v>743</v>
      </c>
      <c r="G626" s="12" t="s">
        <v>53</v>
      </c>
      <c r="H626" s="12" t="s">
        <v>76</v>
      </c>
      <c r="I626" s="12" t="n">
        <v>10</v>
      </c>
      <c r="J626" s="12" t="s">
        <v>40</v>
      </c>
      <c r="K626" s="12" t="s">
        <v>48</v>
      </c>
      <c r="L626" s="12" t="str">
        <f aca="false">IF(OR(H626="Severe",H626="Life-Threatening"),"Yes","No")</f>
        <v>Yes</v>
      </c>
      <c r="M626" s="12" t="str">
        <f aca="false">IF(B626&lt;18,"0-17",IF(B626&lt;40,"18-39",IF(B626&lt;60,"40-59","60+")))</f>
        <v>60+</v>
      </c>
      <c r="N626" s="12" t="str">
        <f aca="false">IF(I626&lt;=1,"0-1 days",IF(I626&lt;=7,"2-7 days",IF(I626&lt;=30,"8-30 days","&gt;30 days")))</f>
        <v>8-30 days</v>
      </c>
    </row>
    <row r="627" customFormat="false" ht="15" hidden="false" customHeight="false" outlineLevel="0" collapsed="false">
      <c r="A627" s="12" t="s">
        <v>868</v>
      </c>
      <c r="B627" s="12" t="n">
        <v>42</v>
      </c>
      <c r="C627" s="12" t="s">
        <v>43</v>
      </c>
      <c r="D627" s="12" t="s">
        <v>155</v>
      </c>
      <c r="E627" s="12" t="s">
        <v>383</v>
      </c>
      <c r="F627" s="12" t="s">
        <v>139</v>
      </c>
      <c r="G627" s="12" t="s">
        <v>38</v>
      </c>
      <c r="H627" s="12" t="s">
        <v>39</v>
      </c>
      <c r="I627" s="12" t="n">
        <v>28</v>
      </c>
      <c r="J627" s="12" t="s">
        <v>40</v>
      </c>
      <c r="K627" s="12" t="s">
        <v>48</v>
      </c>
      <c r="L627" s="12" t="str">
        <f aca="false">IF(OR(H627="Severe",H627="Life-Threatening"),"Yes","No")</f>
        <v>No</v>
      </c>
      <c r="M627" s="12" t="str">
        <f aca="false">IF(B627&lt;18,"0-17",IF(B627&lt;40,"18-39",IF(B627&lt;60,"40-59","60+")))</f>
        <v>40-59</v>
      </c>
      <c r="N627" s="12" t="str">
        <f aca="false">IF(I627&lt;=1,"0-1 days",IF(I627&lt;=7,"2-7 days",IF(I627&lt;=30,"8-30 days","&gt;30 days")))</f>
        <v>8-30 days</v>
      </c>
    </row>
    <row r="628" customFormat="false" ht="15" hidden="false" customHeight="false" outlineLevel="0" collapsed="false">
      <c r="A628" s="12" t="s">
        <v>869</v>
      </c>
      <c r="B628" s="12" t="n">
        <v>23</v>
      </c>
      <c r="C628" s="12" t="s">
        <v>43</v>
      </c>
      <c r="D628" s="12" t="s">
        <v>581</v>
      </c>
      <c r="E628" s="12" t="s">
        <v>268</v>
      </c>
      <c r="F628" s="12" t="s">
        <v>269</v>
      </c>
      <c r="G628" s="12" t="s">
        <v>38</v>
      </c>
      <c r="H628" s="12" t="s">
        <v>46</v>
      </c>
      <c r="I628" s="12" t="n">
        <v>2</v>
      </c>
      <c r="J628" s="12" t="s">
        <v>40</v>
      </c>
      <c r="K628" s="12" t="s">
        <v>63</v>
      </c>
      <c r="L628" s="12" t="str">
        <f aca="false">IF(OR(H628="Severe",H628="Life-Threatening"),"Yes","No")</f>
        <v>No</v>
      </c>
      <c r="M628" s="12" t="str">
        <f aca="false">IF(B628&lt;18,"0-17",IF(B628&lt;40,"18-39",IF(B628&lt;60,"40-59","60+")))</f>
        <v>18-39</v>
      </c>
      <c r="N628" s="12" t="str">
        <f aca="false">IF(I628&lt;=1,"0-1 days",IF(I628&lt;=7,"2-7 days",IF(I628&lt;=30,"8-30 days","&gt;30 days")))</f>
        <v>2-7 days</v>
      </c>
    </row>
    <row r="629" customFormat="false" ht="15" hidden="false" customHeight="false" outlineLevel="0" collapsed="false">
      <c r="A629" s="12" t="s">
        <v>870</v>
      </c>
      <c r="B629" s="12" t="n">
        <v>39</v>
      </c>
      <c r="C629" s="12" t="s">
        <v>43</v>
      </c>
      <c r="D629" s="12" t="s">
        <v>35</v>
      </c>
      <c r="E629" s="12" t="s">
        <v>268</v>
      </c>
      <c r="F629" s="12" t="s">
        <v>269</v>
      </c>
      <c r="G629" s="12" t="s">
        <v>38</v>
      </c>
      <c r="H629" s="12" t="s">
        <v>39</v>
      </c>
      <c r="I629" s="12" t="n">
        <v>4</v>
      </c>
      <c r="J629" s="12" t="s">
        <v>40</v>
      </c>
      <c r="K629" s="12" t="s">
        <v>147</v>
      </c>
      <c r="L629" s="12" t="str">
        <f aca="false">IF(OR(H629="Severe",H629="Life-Threatening"),"Yes","No")</f>
        <v>No</v>
      </c>
      <c r="M629" s="12" t="str">
        <f aca="false">IF(B629&lt;18,"0-17",IF(B629&lt;40,"18-39",IF(B629&lt;60,"40-59","60+")))</f>
        <v>18-39</v>
      </c>
      <c r="N629" s="12" t="str">
        <f aca="false">IF(I629&lt;=1,"0-1 days",IF(I629&lt;=7,"2-7 days",IF(I629&lt;=30,"8-30 days","&gt;30 days")))</f>
        <v>2-7 days</v>
      </c>
    </row>
    <row r="630" customFormat="false" ht="15" hidden="false" customHeight="false" outlineLevel="0" collapsed="false">
      <c r="A630" s="12" t="s">
        <v>871</v>
      </c>
      <c r="B630" s="12" t="n">
        <v>57</v>
      </c>
      <c r="C630" s="12" t="s">
        <v>34</v>
      </c>
      <c r="D630" s="12" t="s">
        <v>155</v>
      </c>
      <c r="E630" s="12" t="s">
        <v>315</v>
      </c>
      <c r="F630" s="12" t="s">
        <v>176</v>
      </c>
      <c r="G630" s="12" t="s">
        <v>177</v>
      </c>
      <c r="H630" s="12" t="s">
        <v>39</v>
      </c>
      <c r="I630" s="12" t="n">
        <v>28</v>
      </c>
      <c r="J630" s="12" t="s">
        <v>47</v>
      </c>
      <c r="K630" s="12" t="s">
        <v>63</v>
      </c>
      <c r="L630" s="12" t="str">
        <f aca="false">IF(OR(H630="Severe",H630="Life-Threatening"),"Yes","No")</f>
        <v>No</v>
      </c>
      <c r="M630" s="12" t="str">
        <f aca="false">IF(B630&lt;18,"0-17",IF(B630&lt;40,"18-39",IF(B630&lt;60,"40-59","60+")))</f>
        <v>40-59</v>
      </c>
      <c r="N630" s="12" t="str">
        <f aca="false">IF(I630&lt;=1,"0-1 days",IF(I630&lt;=7,"2-7 days",IF(I630&lt;=30,"8-30 days","&gt;30 days")))</f>
        <v>8-30 days</v>
      </c>
    </row>
    <row r="631" customFormat="false" ht="15" hidden="false" customHeight="false" outlineLevel="0" collapsed="false">
      <c r="A631" s="12" t="s">
        <v>872</v>
      </c>
      <c r="B631" s="12" t="n">
        <v>60</v>
      </c>
      <c r="C631" s="12" t="s">
        <v>34</v>
      </c>
      <c r="D631" s="12" t="s">
        <v>234</v>
      </c>
      <c r="E631" s="12" t="s">
        <v>164</v>
      </c>
      <c r="F631" s="12" t="s">
        <v>165</v>
      </c>
      <c r="G631" s="12" t="s">
        <v>53</v>
      </c>
      <c r="H631" s="12" t="s">
        <v>39</v>
      </c>
      <c r="I631" s="12" t="n">
        <v>14</v>
      </c>
      <c r="J631" s="12" t="s">
        <v>40</v>
      </c>
      <c r="K631" s="12" t="s">
        <v>48</v>
      </c>
      <c r="L631" s="12" t="str">
        <f aca="false">IF(OR(H631="Severe",H631="Life-Threatening"),"Yes","No")</f>
        <v>No</v>
      </c>
      <c r="M631" s="12" t="str">
        <f aca="false">IF(B631&lt;18,"0-17",IF(B631&lt;40,"18-39",IF(B631&lt;60,"40-59","60+")))</f>
        <v>60+</v>
      </c>
      <c r="N631" s="12" t="str">
        <f aca="false">IF(I631&lt;=1,"0-1 days",IF(I631&lt;=7,"2-7 days",IF(I631&lt;=30,"8-30 days","&gt;30 days")))</f>
        <v>8-30 days</v>
      </c>
    </row>
    <row r="632" customFormat="false" ht="15" hidden="false" customHeight="false" outlineLevel="0" collapsed="false">
      <c r="A632" s="12" t="s">
        <v>873</v>
      </c>
      <c r="B632" s="12" t="n">
        <v>82</v>
      </c>
      <c r="C632" s="12" t="s">
        <v>43</v>
      </c>
      <c r="D632" s="12" t="s">
        <v>35</v>
      </c>
      <c r="E632" s="12" t="s">
        <v>36</v>
      </c>
      <c r="F632" s="12" t="s">
        <v>364</v>
      </c>
      <c r="G632" s="12" t="s">
        <v>38</v>
      </c>
      <c r="H632" s="12" t="s">
        <v>39</v>
      </c>
      <c r="I632" s="12" t="n">
        <v>22</v>
      </c>
      <c r="J632" s="12" t="s">
        <v>40</v>
      </c>
      <c r="K632" s="12" t="s">
        <v>63</v>
      </c>
      <c r="L632" s="12" t="str">
        <f aca="false">IF(OR(H632="Severe",H632="Life-Threatening"),"Yes","No")</f>
        <v>No</v>
      </c>
      <c r="M632" s="12" t="str">
        <f aca="false">IF(B632&lt;18,"0-17",IF(B632&lt;40,"18-39",IF(B632&lt;60,"40-59","60+")))</f>
        <v>60+</v>
      </c>
      <c r="N632" s="12" t="str">
        <f aca="false">IF(I632&lt;=1,"0-1 days",IF(I632&lt;=7,"2-7 days",IF(I632&lt;=30,"8-30 days","&gt;30 days")))</f>
        <v>8-30 days</v>
      </c>
    </row>
    <row r="633" customFormat="false" ht="15" hidden="false" customHeight="false" outlineLevel="0" collapsed="false">
      <c r="A633" s="12" t="s">
        <v>874</v>
      </c>
      <c r="B633" s="12" t="n">
        <v>30</v>
      </c>
      <c r="C633" s="12" t="s">
        <v>43</v>
      </c>
      <c r="D633" s="12" t="s">
        <v>69</v>
      </c>
      <c r="E633" s="12" t="s">
        <v>454</v>
      </c>
      <c r="F633" s="12" t="s">
        <v>45</v>
      </c>
      <c r="G633" s="12" t="s">
        <v>38</v>
      </c>
      <c r="H633" s="12" t="s">
        <v>39</v>
      </c>
      <c r="I633" s="12" t="n">
        <v>5</v>
      </c>
      <c r="J633" s="12" t="s">
        <v>40</v>
      </c>
      <c r="K633" s="12" t="s">
        <v>48</v>
      </c>
      <c r="L633" s="12" t="str">
        <f aca="false">IF(OR(H633="Severe",H633="Life-Threatening"),"Yes","No")</f>
        <v>No</v>
      </c>
      <c r="M633" s="12" t="str">
        <f aca="false">IF(B633&lt;18,"0-17",IF(B633&lt;40,"18-39",IF(B633&lt;60,"40-59","60+")))</f>
        <v>18-39</v>
      </c>
      <c r="N633" s="12" t="str">
        <f aca="false">IF(I633&lt;=1,"0-1 days",IF(I633&lt;=7,"2-7 days",IF(I633&lt;=30,"8-30 days","&gt;30 days")))</f>
        <v>2-7 days</v>
      </c>
    </row>
    <row r="634" customFormat="false" ht="15" hidden="false" customHeight="false" outlineLevel="0" collapsed="false">
      <c r="A634" s="12" t="s">
        <v>875</v>
      </c>
      <c r="B634" s="12" t="n">
        <v>71</v>
      </c>
      <c r="C634" s="12" t="s">
        <v>43</v>
      </c>
      <c r="D634" s="12" t="s">
        <v>35</v>
      </c>
      <c r="E634" s="12" t="s">
        <v>36</v>
      </c>
      <c r="F634" s="12" t="s">
        <v>364</v>
      </c>
      <c r="G634" s="12" t="s">
        <v>38</v>
      </c>
      <c r="H634" s="12" t="s">
        <v>76</v>
      </c>
      <c r="I634" s="12" t="n">
        <v>20</v>
      </c>
      <c r="J634" s="12" t="s">
        <v>40</v>
      </c>
      <c r="K634" s="12" t="s">
        <v>63</v>
      </c>
      <c r="L634" s="12" t="str">
        <f aca="false">IF(OR(H634="Severe",H634="Life-Threatening"),"Yes","No")</f>
        <v>Yes</v>
      </c>
      <c r="M634" s="12" t="str">
        <f aca="false">IF(B634&lt;18,"0-17",IF(B634&lt;40,"18-39",IF(B634&lt;60,"40-59","60+")))</f>
        <v>60+</v>
      </c>
      <c r="N634" s="12" t="str">
        <f aca="false">IF(I634&lt;=1,"0-1 days",IF(I634&lt;=7,"2-7 days",IF(I634&lt;=30,"8-30 days","&gt;30 days")))</f>
        <v>8-30 days</v>
      </c>
    </row>
    <row r="635" customFormat="false" ht="15" hidden="false" customHeight="false" outlineLevel="0" collapsed="false">
      <c r="A635" s="12" t="s">
        <v>876</v>
      </c>
      <c r="B635" s="12" t="n">
        <v>40</v>
      </c>
      <c r="C635" s="12" t="s">
        <v>43</v>
      </c>
      <c r="D635" s="12" t="s">
        <v>91</v>
      </c>
      <c r="E635" s="12" t="s">
        <v>369</v>
      </c>
      <c r="F635" s="12" t="s">
        <v>62</v>
      </c>
      <c r="G635" s="12" t="s">
        <v>53</v>
      </c>
      <c r="H635" s="12" t="s">
        <v>76</v>
      </c>
      <c r="I635" s="12" t="n">
        <v>27</v>
      </c>
      <c r="J635" s="12" t="s">
        <v>47</v>
      </c>
      <c r="K635" s="12" t="s">
        <v>147</v>
      </c>
      <c r="L635" s="12" t="str">
        <f aca="false">IF(OR(H635="Severe",H635="Life-Threatening"),"Yes","No")</f>
        <v>Yes</v>
      </c>
      <c r="M635" s="12" t="str">
        <f aca="false">IF(B635&lt;18,"0-17",IF(B635&lt;40,"18-39",IF(B635&lt;60,"40-59","60+")))</f>
        <v>40-59</v>
      </c>
      <c r="N635" s="12" t="str">
        <f aca="false">IF(I635&lt;=1,"0-1 days",IF(I635&lt;=7,"2-7 days",IF(I635&lt;=30,"8-30 days","&gt;30 days")))</f>
        <v>8-30 days</v>
      </c>
    </row>
    <row r="636" customFormat="false" ht="15" hidden="false" customHeight="false" outlineLevel="0" collapsed="false">
      <c r="A636" s="12" t="s">
        <v>877</v>
      </c>
      <c r="B636" s="12" t="n">
        <v>37</v>
      </c>
      <c r="C636" s="12" t="s">
        <v>43</v>
      </c>
      <c r="D636" s="12" t="s">
        <v>234</v>
      </c>
      <c r="E636" s="12" t="s">
        <v>268</v>
      </c>
      <c r="F636" s="12" t="s">
        <v>269</v>
      </c>
      <c r="G636" s="12" t="s">
        <v>38</v>
      </c>
      <c r="H636" s="12" t="s">
        <v>39</v>
      </c>
      <c r="I636" s="12" t="n">
        <v>8</v>
      </c>
      <c r="J636" s="12" t="s">
        <v>40</v>
      </c>
      <c r="K636" s="12" t="s">
        <v>63</v>
      </c>
      <c r="L636" s="12" t="str">
        <f aca="false">IF(OR(H636="Severe",H636="Life-Threatening"),"Yes","No")</f>
        <v>No</v>
      </c>
      <c r="M636" s="12" t="str">
        <f aca="false">IF(B636&lt;18,"0-17",IF(B636&lt;40,"18-39",IF(B636&lt;60,"40-59","60+")))</f>
        <v>18-39</v>
      </c>
      <c r="N636" s="12" t="str">
        <f aca="false">IF(I636&lt;=1,"0-1 days",IF(I636&lt;=7,"2-7 days",IF(I636&lt;=30,"8-30 days","&gt;30 days")))</f>
        <v>8-30 days</v>
      </c>
    </row>
    <row r="637" customFormat="false" ht="15" hidden="false" customHeight="false" outlineLevel="0" collapsed="false">
      <c r="A637" s="12" t="s">
        <v>878</v>
      </c>
      <c r="B637" s="12" t="n">
        <v>74</v>
      </c>
      <c r="C637" s="12" t="s">
        <v>34</v>
      </c>
      <c r="D637" s="12" t="s">
        <v>99</v>
      </c>
      <c r="E637" s="12" t="s">
        <v>175</v>
      </c>
      <c r="F637" s="12" t="s">
        <v>371</v>
      </c>
      <c r="G637" s="12" t="s">
        <v>72</v>
      </c>
      <c r="H637" s="12" t="s">
        <v>76</v>
      </c>
      <c r="I637" s="12" t="n">
        <v>14</v>
      </c>
      <c r="J637" s="12" t="s">
        <v>40</v>
      </c>
      <c r="K637" s="12" t="s">
        <v>63</v>
      </c>
      <c r="L637" s="12" t="str">
        <f aca="false">IF(OR(H637="Severe",H637="Life-Threatening"),"Yes","No")</f>
        <v>Yes</v>
      </c>
      <c r="M637" s="12" t="str">
        <f aca="false">IF(B637&lt;18,"0-17",IF(B637&lt;40,"18-39",IF(B637&lt;60,"40-59","60+")))</f>
        <v>60+</v>
      </c>
      <c r="N637" s="12" t="str">
        <f aca="false">IF(I637&lt;=1,"0-1 days",IF(I637&lt;=7,"2-7 days",IF(I637&lt;=30,"8-30 days","&gt;30 days")))</f>
        <v>8-30 days</v>
      </c>
    </row>
    <row r="638" customFormat="false" ht="15" hidden="false" customHeight="false" outlineLevel="0" collapsed="false">
      <c r="A638" s="12" t="s">
        <v>879</v>
      </c>
      <c r="B638" s="12" t="n">
        <v>66</v>
      </c>
      <c r="C638" s="12" t="s">
        <v>34</v>
      </c>
      <c r="D638" s="12" t="s">
        <v>211</v>
      </c>
      <c r="E638" s="12" t="s">
        <v>243</v>
      </c>
      <c r="F638" s="12" t="s">
        <v>139</v>
      </c>
      <c r="G638" s="12" t="s">
        <v>38</v>
      </c>
      <c r="H638" s="12" t="s">
        <v>46</v>
      </c>
      <c r="I638" s="12" t="n">
        <v>22</v>
      </c>
      <c r="J638" s="12" t="s">
        <v>40</v>
      </c>
      <c r="K638" s="12" t="s">
        <v>63</v>
      </c>
      <c r="L638" s="12" t="str">
        <f aca="false">IF(OR(H638="Severe",H638="Life-Threatening"),"Yes","No")</f>
        <v>No</v>
      </c>
      <c r="M638" s="12" t="str">
        <f aca="false">IF(B638&lt;18,"0-17",IF(B638&lt;40,"18-39",IF(B638&lt;60,"40-59","60+")))</f>
        <v>60+</v>
      </c>
      <c r="N638" s="12" t="str">
        <f aca="false">IF(I638&lt;=1,"0-1 days",IF(I638&lt;=7,"2-7 days",IF(I638&lt;=30,"8-30 days","&gt;30 days")))</f>
        <v>8-30 days</v>
      </c>
    </row>
    <row r="639" customFormat="false" ht="15" hidden="false" customHeight="false" outlineLevel="0" collapsed="false">
      <c r="A639" s="12" t="s">
        <v>880</v>
      </c>
      <c r="B639" s="12" t="n">
        <v>64</v>
      </c>
      <c r="C639" s="12" t="s">
        <v>34</v>
      </c>
      <c r="D639" s="12" t="s">
        <v>55</v>
      </c>
      <c r="E639" s="12" t="s">
        <v>164</v>
      </c>
      <c r="F639" s="12" t="s">
        <v>165</v>
      </c>
      <c r="G639" s="12" t="s">
        <v>53</v>
      </c>
      <c r="H639" s="12" t="s">
        <v>59</v>
      </c>
      <c r="I639" s="12" t="n">
        <v>25</v>
      </c>
      <c r="J639" s="12" t="s">
        <v>67</v>
      </c>
      <c r="K639" s="12" t="s">
        <v>48</v>
      </c>
      <c r="L639" s="12" t="str">
        <f aca="false">IF(OR(H639="Severe",H639="Life-Threatening"),"Yes","No")</f>
        <v>Yes</v>
      </c>
      <c r="M639" s="12" t="str">
        <f aca="false">IF(B639&lt;18,"0-17",IF(B639&lt;40,"18-39",IF(B639&lt;60,"40-59","60+")))</f>
        <v>60+</v>
      </c>
      <c r="N639" s="12" t="str">
        <f aca="false">IF(I639&lt;=1,"0-1 days",IF(I639&lt;=7,"2-7 days",IF(I639&lt;=30,"8-30 days","&gt;30 days")))</f>
        <v>8-30 days</v>
      </c>
    </row>
    <row r="640" customFormat="false" ht="15" hidden="false" customHeight="false" outlineLevel="0" collapsed="false">
      <c r="A640" s="12" t="s">
        <v>881</v>
      </c>
      <c r="B640" s="12" t="n">
        <v>8</v>
      </c>
      <c r="C640" s="12" t="s">
        <v>43</v>
      </c>
      <c r="D640" s="12" t="s">
        <v>35</v>
      </c>
      <c r="E640" s="12" t="s">
        <v>74</v>
      </c>
      <c r="F640" s="12" t="s">
        <v>75</v>
      </c>
      <c r="G640" s="12" t="s">
        <v>58</v>
      </c>
      <c r="H640" s="12" t="s">
        <v>59</v>
      </c>
      <c r="I640" s="12" t="n">
        <v>1</v>
      </c>
      <c r="J640" s="12" t="s">
        <v>47</v>
      </c>
      <c r="K640" s="12" t="s">
        <v>48</v>
      </c>
      <c r="L640" s="12" t="str">
        <f aca="false">IF(OR(H640="Severe",H640="Life-Threatening"),"Yes","No")</f>
        <v>Yes</v>
      </c>
      <c r="M640" s="12" t="str">
        <f aca="false">IF(B640&lt;18,"0-17",IF(B640&lt;40,"18-39",IF(B640&lt;60,"40-59","60+")))</f>
        <v>0-17</v>
      </c>
      <c r="N640" s="12" t="str">
        <f aca="false">IF(I640&lt;=1,"0-1 days",IF(I640&lt;=7,"2-7 days",IF(I640&lt;=30,"8-30 days","&gt;30 days")))</f>
        <v>0-1 days</v>
      </c>
    </row>
    <row r="641" customFormat="false" ht="15" hidden="false" customHeight="false" outlineLevel="0" collapsed="false">
      <c r="A641" s="12" t="s">
        <v>882</v>
      </c>
      <c r="B641" s="12" t="n">
        <v>68</v>
      </c>
      <c r="C641" s="12" t="s">
        <v>34</v>
      </c>
      <c r="D641" s="12" t="s">
        <v>123</v>
      </c>
      <c r="E641" s="12" t="s">
        <v>311</v>
      </c>
      <c r="F641" s="12" t="s">
        <v>442</v>
      </c>
      <c r="G641" s="12" t="s">
        <v>177</v>
      </c>
      <c r="H641" s="12" t="s">
        <v>46</v>
      </c>
      <c r="I641" s="12" t="n">
        <v>28</v>
      </c>
      <c r="J641" s="12" t="s">
        <v>40</v>
      </c>
      <c r="K641" s="12" t="s">
        <v>63</v>
      </c>
      <c r="L641" s="12" t="str">
        <f aca="false">IF(OR(H641="Severe",H641="Life-Threatening"),"Yes","No")</f>
        <v>No</v>
      </c>
      <c r="M641" s="12" t="str">
        <f aca="false">IF(B641&lt;18,"0-17",IF(B641&lt;40,"18-39",IF(B641&lt;60,"40-59","60+")))</f>
        <v>60+</v>
      </c>
      <c r="N641" s="12" t="str">
        <f aca="false">IF(I641&lt;=1,"0-1 days",IF(I641&lt;=7,"2-7 days",IF(I641&lt;=30,"8-30 days","&gt;30 days")))</f>
        <v>8-30 days</v>
      </c>
    </row>
    <row r="642" customFormat="false" ht="15" hidden="false" customHeight="false" outlineLevel="0" collapsed="false">
      <c r="A642" s="12" t="s">
        <v>883</v>
      </c>
      <c r="B642" s="12" t="n">
        <v>40</v>
      </c>
      <c r="C642" s="12" t="s">
        <v>43</v>
      </c>
      <c r="D642" s="12" t="s">
        <v>168</v>
      </c>
      <c r="E642" s="12" t="s">
        <v>74</v>
      </c>
      <c r="F642" s="12" t="s">
        <v>214</v>
      </c>
      <c r="G642" s="12" t="s">
        <v>115</v>
      </c>
      <c r="H642" s="12" t="s">
        <v>39</v>
      </c>
      <c r="I642" s="12" t="n">
        <v>1</v>
      </c>
      <c r="J642" s="12" t="s">
        <v>40</v>
      </c>
      <c r="K642" s="12" t="s">
        <v>147</v>
      </c>
      <c r="L642" s="12" t="str">
        <f aca="false">IF(OR(H642="Severe",H642="Life-Threatening"),"Yes","No")</f>
        <v>No</v>
      </c>
      <c r="M642" s="12" t="str">
        <f aca="false">IF(B642&lt;18,"0-17",IF(B642&lt;40,"18-39",IF(B642&lt;60,"40-59","60+")))</f>
        <v>40-59</v>
      </c>
      <c r="N642" s="12" t="str">
        <f aca="false">IF(I642&lt;=1,"0-1 days",IF(I642&lt;=7,"2-7 days",IF(I642&lt;=30,"8-30 days","&gt;30 days")))</f>
        <v>0-1 days</v>
      </c>
    </row>
    <row r="643" customFormat="false" ht="15" hidden="false" customHeight="false" outlineLevel="0" collapsed="false">
      <c r="A643" s="12" t="s">
        <v>884</v>
      </c>
      <c r="B643" s="12" t="n">
        <v>48</v>
      </c>
      <c r="C643" s="12" t="s">
        <v>34</v>
      </c>
      <c r="D643" s="12" t="s">
        <v>50</v>
      </c>
      <c r="E643" s="12" t="s">
        <v>407</v>
      </c>
      <c r="F643" s="12" t="s">
        <v>62</v>
      </c>
      <c r="G643" s="12" t="s">
        <v>53</v>
      </c>
      <c r="H643" s="12" t="s">
        <v>46</v>
      </c>
      <c r="I643" s="12" t="n">
        <v>9</v>
      </c>
      <c r="J643" s="12" t="s">
        <v>47</v>
      </c>
      <c r="K643" s="12" t="s">
        <v>63</v>
      </c>
      <c r="L643" s="12" t="str">
        <f aca="false">IF(OR(H643="Severe",H643="Life-Threatening"),"Yes","No")</f>
        <v>No</v>
      </c>
      <c r="M643" s="12" t="str">
        <f aca="false">IF(B643&lt;18,"0-17",IF(B643&lt;40,"18-39",IF(B643&lt;60,"40-59","60+")))</f>
        <v>40-59</v>
      </c>
      <c r="N643" s="12" t="str">
        <f aca="false">IF(I643&lt;=1,"0-1 days",IF(I643&lt;=7,"2-7 days",IF(I643&lt;=30,"8-30 days","&gt;30 days")))</f>
        <v>8-30 days</v>
      </c>
    </row>
    <row r="644" customFormat="false" ht="15" hidden="false" customHeight="false" outlineLevel="0" collapsed="false">
      <c r="A644" s="12" t="s">
        <v>885</v>
      </c>
      <c r="B644" s="12" t="n">
        <v>85</v>
      </c>
      <c r="C644" s="12" t="s">
        <v>43</v>
      </c>
      <c r="D644" s="12" t="s">
        <v>50</v>
      </c>
      <c r="E644" s="12" t="s">
        <v>268</v>
      </c>
      <c r="F644" s="12" t="s">
        <v>269</v>
      </c>
      <c r="G644" s="12" t="s">
        <v>38</v>
      </c>
      <c r="H644" s="12" t="s">
        <v>76</v>
      </c>
      <c r="I644" s="12" t="n">
        <v>25</v>
      </c>
      <c r="J644" s="12" t="s">
        <v>47</v>
      </c>
      <c r="K644" s="12" t="s">
        <v>48</v>
      </c>
      <c r="L644" s="12" t="str">
        <f aca="false">IF(OR(H644="Severe",H644="Life-Threatening"),"Yes","No")</f>
        <v>Yes</v>
      </c>
      <c r="M644" s="12" t="str">
        <f aca="false">IF(B644&lt;18,"0-17",IF(B644&lt;40,"18-39",IF(B644&lt;60,"40-59","60+")))</f>
        <v>60+</v>
      </c>
      <c r="N644" s="12" t="str">
        <f aca="false">IF(I644&lt;=1,"0-1 days",IF(I644&lt;=7,"2-7 days",IF(I644&lt;=30,"8-30 days","&gt;30 days")))</f>
        <v>8-30 days</v>
      </c>
    </row>
    <row r="645" customFormat="false" ht="15" hidden="false" customHeight="false" outlineLevel="0" collapsed="false">
      <c r="A645" s="12" t="s">
        <v>886</v>
      </c>
      <c r="B645" s="12" t="n">
        <v>33</v>
      </c>
      <c r="C645" s="12" t="s">
        <v>34</v>
      </c>
      <c r="D645" s="12" t="s">
        <v>194</v>
      </c>
      <c r="E645" s="12" t="s">
        <v>89</v>
      </c>
      <c r="F645" s="12" t="s">
        <v>37</v>
      </c>
      <c r="G645" s="12" t="s">
        <v>38</v>
      </c>
      <c r="H645" s="12" t="s">
        <v>39</v>
      </c>
      <c r="I645" s="12" t="n">
        <v>9</v>
      </c>
      <c r="J645" s="12" t="s">
        <v>47</v>
      </c>
      <c r="K645" s="12" t="s">
        <v>48</v>
      </c>
      <c r="L645" s="12" t="str">
        <f aca="false">IF(OR(H645="Severe",H645="Life-Threatening"),"Yes","No")</f>
        <v>No</v>
      </c>
      <c r="M645" s="12" t="str">
        <f aca="false">IF(B645&lt;18,"0-17",IF(B645&lt;40,"18-39",IF(B645&lt;60,"40-59","60+")))</f>
        <v>18-39</v>
      </c>
      <c r="N645" s="12" t="str">
        <f aca="false">IF(I645&lt;=1,"0-1 days",IF(I645&lt;=7,"2-7 days",IF(I645&lt;=30,"8-30 days","&gt;30 days")))</f>
        <v>8-30 days</v>
      </c>
    </row>
    <row r="646" customFormat="false" ht="15" hidden="false" customHeight="false" outlineLevel="0" collapsed="false">
      <c r="A646" s="12" t="s">
        <v>887</v>
      </c>
      <c r="B646" s="12" t="n">
        <v>35</v>
      </c>
      <c r="C646" s="12" t="s">
        <v>43</v>
      </c>
      <c r="D646" s="12" t="s">
        <v>50</v>
      </c>
      <c r="E646" s="12" t="s">
        <v>118</v>
      </c>
      <c r="F646" s="12" t="s">
        <v>45</v>
      </c>
      <c r="G646" s="12" t="s">
        <v>38</v>
      </c>
      <c r="H646" s="12" t="s">
        <v>39</v>
      </c>
      <c r="I646" s="12" t="n">
        <v>28</v>
      </c>
      <c r="J646" s="12" t="s">
        <v>40</v>
      </c>
      <c r="K646" s="12" t="s">
        <v>48</v>
      </c>
      <c r="L646" s="12" t="str">
        <f aca="false">IF(OR(H646="Severe",H646="Life-Threatening"),"Yes","No")</f>
        <v>No</v>
      </c>
      <c r="M646" s="12" t="str">
        <f aca="false">IF(B646&lt;18,"0-17",IF(B646&lt;40,"18-39",IF(B646&lt;60,"40-59","60+")))</f>
        <v>18-39</v>
      </c>
      <c r="N646" s="12" t="str">
        <f aca="false">IF(I646&lt;=1,"0-1 days",IF(I646&lt;=7,"2-7 days",IF(I646&lt;=30,"8-30 days","&gt;30 days")))</f>
        <v>8-30 days</v>
      </c>
    </row>
    <row r="647" customFormat="false" ht="15" hidden="false" customHeight="false" outlineLevel="0" collapsed="false">
      <c r="A647" s="12" t="s">
        <v>888</v>
      </c>
      <c r="B647" s="12" t="n">
        <v>43</v>
      </c>
      <c r="C647" s="12" t="s">
        <v>43</v>
      </c>
      <c r="D647" s="12" t="s">
        <v>35</v>
      </c>
      <c r="E647" s="12" t="s">
        <v>374</v>
      </c>
      <c r="F647" s="12" t="s">
        <v>325</v>
      </c>
      <c r="G647" s="12" t="s">
        <v>177</v>
      </c>
      <c r="H647" s="12" t="s">
        <v>76</v>
      </c>
      <c r="I647" s="12" t="n">
        <v>14</v>
      </c>
      <c r="J647" s="12" t="s">
        <v>105</v>
      </c>
      <c r="K647" s="12" t="s">
        <v>63</v>
      </c>
      <c r="L647" s="12" t="str">
        <f aca="false">IF(OR(H647="Severe",H647="Life-Threatening"),"Yes","No")</f>
        <v>Yes</v>
      </c>
      <c r="M647" s="12" t="str">
        <f aca="false">IF(B647&lt;18,"0-17",IF(B647&lt;40,"18-39",IF(B647&lt;60,"40-59","60+")))</f>
        <v>40-59</v>
      </c>
      <c r="N647" s="12" t="str">
        <f aca="false">IF(I647&lt;=1,"0-1 days",IF(I647&lt;=7,"2-7 days",IF(I647&lt;=30,"8-30 days","&gt;30 days")))</f>
        <v>8-30 days</v>
      </c>
    </row>
    <row r="648" customFormat="false" ht="15" hidden="false" customHeight="false" outlineLevel="0" collapsed="false">
      <c r="A648" s="12" t="s">
        <v>889</v>
      </c>
      <c r="B648" s="12" t="n">
        <v>54</v>
      </c>
      <c r="C648" s="12" t="s">
        <v>34</v>
      </c>
      <c r="D648" s="12" t="s">
        <v>196</v>
      </c>
      <c r="E648" s="12" t="s">
        <v>239</v>
      </c>
      <c r="F648" s="12" t="s">
        <v>249</v>
      </c>
      <c r="G648" s="12" t="s">
        <v>152</v>
      </c>
      <c r="H648" s="12" t="s">
        <v>39</v>
      </c>
      <c r="I648" s="12" t="n">
        <v>25</v>
      </c>
      <c r="J648" s="12" t="s">
        <v>169</v>
      </c>
      <c r="K648" s="12" t="s">
        <v>48</v>
      </c>
      <c r="L648" s="12" t="str">
        <f aca="false">IF(OR(H648="Severe",H648="Life-Threatening"),"Yes","No")</f>
        <v>No</v>
      </c>
      <c r="M648" s="12" t="str">
        <f aca="false">IF(B648&lt;18,"0-17",IF(B648&lt;40,"18-39",IF(B648&lt;60,"40-59","60+")))</f>
        <v>40-59</v>
      </c>
      <c r="N648" s="12" t="str">
        <f aca="false">IF(I648&lt;=1,"0-1 days",IF(I648&lt;=7,"2-7 days",IF(I648&lt;=30,"8-30 days","&gt;30 days")))</f>
        <v>8-30 days</v>
      </c>
    </row>
    <row r="649" customFormat="false" ht="15" hidden="false" customHeight="false" outlineLevel="0" collapsed="false">
      <c r="A649" s="12" t="s">
        <v>890</v>
      </c>
      <c r="B649" s="12" t="n">
        <v>47</v>
      </c>
      <c r="C649" s="12" t="s">
        <v>34</v>
      </c>
      <c r="D649" s="12" t="s">
        <v>35</v>
      </c>
      <c r="E649" s="12" t="s">
        <v>352</v>
      </c>
      <c r="F649" s="12" t="s">
        <v>325</v>
      </c>
      <c r="G649" s="12" t="s">
        <v>177</v>
      </c>
      <c r="H649" s="12" t="s">
        <v>59</v>
      </c>
      <c r="I649" s="12" t="n">
        <v>8</v>
      </c>
      <c r="J649" s="12" t="s">
        <v>67</v>
      </c>
      <c r="K649" s="12" t="s">
        <v>63</v>
      </c>
      <c r="L649" s="12" t="str">
        <f aca="false">IF(OR(H649="Severe",H649="Life-Threatening"),"Yes","No")</f>
        <v>Yes</v>
      </c>
      <c r="M649" s="12" t="str">
        <f aca="false">IF(B649&lt;18,"0-17",IF(B649&lt;40,"18-39",IF(B649&lt;60,"40-59","60+")))</f>
        <v>40-59</v>
      </c>
      <c r="N649" s="12" t="str">
        <f aca="false">IF(I649&lt;=1,"0-1 days",IF(I649&lt;=7,"2-7 days",IF(I649&lt;=30,"8-30 days","&gt;30 days")))</f>
        <v>8-30 days</v>
      </c>
    </row>
    <row r="650" customFormat="false" ht="15" hidden="false" customHeight="false" outlineLevel="0" collapsed="false">
      <c r="A650" s="12" t="s">
        <v>891</v>
      </c>
      <c r="B650" s="12" t="n">
        <v>55</v>
      </c>
      <c r="C650" s="12" t="s">
        <v>43</v>
      </c>
      <c r="D650" s="12" t="s">
        <v>35</v>
      </c>
      <c r="E650" s="12" t="s">
        <v>186</v>
      </c>
      <c r="F650" s="12" t="s">
        <v>131</v>
      </c>
      <c r="G650" s="12" t="s">
        <v>94</v>
      </c>
      <c r="H650" s="12" t="s">
        <v>39</v>
      </c>
      <c r="I650" s="12" t="n">
        <v>16</v>
      </c>
      <c r="J650" s="12" t="s">
        <v>47</v>
      </c>
      <c r="K650" s="12" t="s">
        <v>63</v>
      </c>
      <c r="L650" s="12" t="str">
        <f aca="false">IF(OR(H650="Severe",H650="Life-Threatening"),"Yes","No")</f>
        <v>No</v>
      </c>
      <c r="M650" s="12" t="str">
        <f aca="false">IF(B650&lt;18,"0-17",IF(B650&lt;40,"18-39",IF(B650&lt;60,"40-59","60+")))</f>
        <v>40-59</v>
      </c>
      <c r="N650" s="12" t="str">
        <f aca="false">IF(I650&lt;=1,"0-1 days",IF(I650&lt;=7,"2-7 days",IF(I650&lt;=30,"8-30 days","&gt;30 days")))</f>
        <v>8-30 days</v>
      </c>
    </row>
    <row r="651" customFormat="false" ht="15" hidden="false" customHeight="false" outlineLevel="0" collapsed="false">
      <c r="A651" s="12" t="s">
        <v>892</v>
      </c>
      <c r="B651" s="12" t="n">
        <v>46</v>
      </c>
      <c r="C651" s="12" t="s">
        <v>43</v>
      </c>
      <c r="D651" s="12" t="s">
        <v>144</v>
      </c>
      <c r="E651" s="12" t="s">
        <v>261</v>
      </c>
      <c r="F651" s="12" t="s">
        <v>45</v>
      </c>
      <c r="G651" s="12" t="s">
        <v>38</v>
      </c>
      <c r="H651" s="12" t="s">
        <v>46</v>
      </c>
      <c r="I651" s="12" t="n">
        <v>21</v>
      </c>
      <c r="J651" s="12" t="s">
        <v>40</v>
      </c>
      <c r="K651" s="12" t="s">
        <v>48</v>
      </c>
      <c r="L651" s="12" t="str">
        <f aca="false">IF(OR(H651="Severe",H651="Life-Threatening"),"Yes","No")</f>
        <v>No</v>
      </c>
      <c r="M651" s="12" t="str">
        <f aca="false">IF(B651&lt;18,"0-17",IF(B651&lt;40,"18-39",IF(B651&lt;60,"40-59","60+")))</f>
        <v>40-59</v>
      </c>
      <c r="N651" s="12" t="str">
        <f aca="false">IF(I651&lt;=1,"0-1 days",IF(I651&lt;=7,"2-7 days",IF(I651&lt;=30,"8-30 days","&gt;30 days")))</f>
        <v>8-30 days</v>
      </c>
    </row>
    <row r="652" customFormat="false" ht="15" hidden="false" customHeight="false" outlineLevel="0" collapsed="false">
      <c r="A652" s="12" t="s">
        <v>893</v>
      </c>
      <c r="B652" s="12" t="n">
        <v>66</v>
      </c>
      <c r="C652" s="12" t="s">
        <v>43</v>
      </c>
      <c r="D652" s="12" t="s">
        <v>85</v>
      </c>
      <c r="E652" s="12" t="s">
        <v>227</v>
      </c>
      <c r="F652" s="12" t="s">
        <v>214</v>
      </c>
      <c r="G652" s="12" t="s">
        <v>115</v>
      </c>
      <c r="H652" s="12" t="s">
        <v>39</v>
      </c>
      <c r="I652" s="12" t="n">
        <v>8</v>
      </c>
      <c r="J652" s="12" t="s">
        <v>67</v>
      </c>
      <c r="K652" s="12" t="s">
        <v>48</v>
      </c>
      <c r="L652" s="12" t="str">
        <f aca="false">IF(OR(H652="Severe",H652="Life-Threatening"),"Yes","No")</f>
        <v>No</v>
      </c>
      <c r="M652" s="12" t="str">
        <f aca="false">IF(B652&lt;18,"0-17",IF(B652&lt;40,"18-39",IF(B652&lt;60,"40-59","60+")))</f>
        <v>60+</v>
      </c>
      <c r="N652" s="12" t="str">
        <f aca="false">IF(I652&lt;=1,"0-1 days",IF(I652&lt;=7,"2-7 days",IF(I652&lt;=30,"8-30 days","&gt;30 days")))</f>
        <v>8-30 days</v>
      </c>
    </row>
    <row r="653" customFormat="false" ht="15" hidden="false" customHeight="false" outlineLevel="0" collapsed="false">
      <c r="A653" s="12" t="s">
        <v>894</v>
      </c>
      <c r="B653" s="12" t="n">
        <v>65</v>
      </c>
      <c r="C653" s="12" t="s">
        <v>34</v>
      </c>
      <c r="D653" s="12" t="s">
        <v>123</v>
      </c>
      <c r="E653" s="12" t="s">
        <v>243</v>
      </c>
      <c r="F653" s="12" t="s">
        <v>348</v>
      </c>
      <c r="G653" s="12" t="s">
        <v>94</v>
      </c>
      <c r="H653" s="12" t="s">
        <v>76</v>
      </c>
      <c r="I653" s="12" t="n">
        <v>7</v>
      </c>
      <c r="J653" s="12" t="s">
        <v>47</v>
      </c>
      <c r="K653" s="12" t="s">
        <v>48</v>
      </c>
      <c r="L653" s="12" t="str">
        <f aca="false">IF(OR(H653="Severe",H653="Life-Threatening"),"Yes","No")</f>
        <v>Yes</v>
      </c>
      <c r="M653" s="12" t="str">
        <f aca="false">IF(B653&lt;18,"0-17",IF(B653&lt;40,"18-39",IF(B653&lt;60,"40-59","60+")))</f>
        <v>60+</v>
      </c>
      <c r="N653" s="12" t="str">
        <f aca="false">IF(I653&lt;=1,"0-1 days",IF(I653&lt;=7,"2-7 days",IF(I653&lt;=30,"8-30 days","&gt;30 days")))</f>
        <v>2-7 days</v>
      </c>
    </row>
    <row r="654" customFormat="false" ht="15" hidden="false" customHeight="false" outlineLevel="0" collapsed="false">
      <c r="A654" s="12" t="s">
        <v>895</v>
      </c>
      <c r="B654" s="12" t="n">
        <v>27</v>
      </c>
      <c r="C654" s="12" t="s">
        <v>34</v>
      </c>
      <c r="D654" s="12" t="s">
        <v>190</v>
      </c>
      <c r="E654" s="12" t="s">
        <v>321</v>
      </c>
      <c r="F654" s="12" t="s">
        <v>322</v>
      </c>
      <c r="G654" s="12" t="s">
        <v>53</v>
      </c>
      <c r="H654" s="12" t="s">
        <v>39</v>
      </c>
      <c r="I654" s="12" t="n">
        <v>27</v>
      </c>
      <c r="J654" s="12" t="s">
        <v>40</v>
      </c>
      <c r="K654" s="12" t="s">
        <v>63</v>
      </c>
      <c r="L654" s="12" t="str">
        <f aca="false">IF(OR(H654="Severe",H654="Life-Threatening"),"Yes","No")</f>
        <v>No</v>
      </c>
      <c r="M654" s="12" t="str">
        <f aca="false">IF(B654&lt;18,"0-17",IF(B654&lt;40,"18-39",IF(B654&lt;60,"40-59","60+")))</f>
        <v>18-39</v>
      </c>
      <c r="N654" s="12" t="str">
        <f aca="false">IF(I654&lt;=1,"0-1 days",IF(I654&lt;=7,"2-7 days",IF(I654&lt;=30,"8-30 days","&gt;30 days")))</f>
        <v>8-30 days</v>
      </c>
    </row>
    <row r="655" customFormat="false" ht="15" hidden="false" customHeight="false" outlineLevel="0" collapsed="false">
      <c r="A655" s="12" t="s">
        <v>896</v>
      </c>
      <c r="B655" s="12" t="n">
        <v>44</v>
      </c>
      <c r="C655" s="12" t="s">
        <v>34</v>
      </c>
      <c r="D655" s="12" t="s">
        <v>35</v>
      </c>
      <c r="E655" s="12" t="s">
        <v>130</v>
      </c>
      <c r="F655" s="12" t="s">
        <v>62</v>
      </c>
      <c r="G655" s="12" t="s">
        <v>53</v>
      </c>
      <c r="H655" s="12" t="s">
        <v>46</v>
      </c>
      <c r="I655" s="12" t="n">
        <v>28</v>
      </c>
      <c r="J655" s="12" t="s">
        <v>47</v>
      </c>
      <c r="K655" s="12" t="s">
        <v>63</v>
      </c>
      <c r="L655" s="12" t="str">
        <f aca="false">IF(OR(H655="Severe",H655="Life-Threatening"),"Yes","No")</f>
        <v>No</v>
      </c>
      <c r="M655" s="12" t="str">
        <f aca="false">IF(B655&lt;18,"0-17",IF(B655&lt;40,"18-39",IF(B655&lt;60,"40-59","60+")))</f>
        <v>40-59</v>
      </c>
      <c r="N655" s="12" t="str">
        <f aca="false">IF(I655&lt;=1,"0-1 days",IF(I655&lt;=7,"2-7 days",IF(I655&lt;=30,"8-30 days","&gt;30 days")))</f>
        <v>8-30 days</v>
      </c>
    </row>
    <row r="656" customFormat="false" ht="15" hidden="false" customHeight="false" outlineLevel="0" collapsed="false">
      <c r="A656" s="12" t="s">
        <v>897</v>
      </c>
      <c r="B656" s="12" t="n">
        <v>38</v>
      </c>
      <c r="C656" s="12" t="s">
        <v>34</v>
      </c>
      <c r="D656" s="12" t="s">
        <v>102</v>
      </c>
      <c r="E656" s="12" t="s">
        <v>179</v>
      </c>
      <c r="F656" s="12" t="s">
        <v>325</v>
      </c>
      <c r="G656" s="12" t="s">
        <v>177</v>
      </c>
      <c r="H656" s="12" t="s">
        <v>59</v>
      </c>
      <c r="I656" s="12" t="n">
        <v>10</v>
      </c>
      <c r="J656" s="12" t="s">
        <v>105</v>
      </c>
      <c r="K656" s="12" t="s">
        <v>63</v>
      </c>
      <c r="L656" s="12" t="str">
        <f aca="false">IF(OR(H656="Severe",H656="Life-Threatening"),"Yes","No")</f>
        <v>Yes</v>
      </c>
      <c r="M656" s="12" t="str">
        <f aca="false">IF(B656&lt;18,"0-17",IF(B656&lt;40,"18-39",IF(B656&lt;60,"40-59","60+")))</f>
        <v>18-39</v>
      </c>
      <c r="N656" s="12" t="str">
        <f aca="false">IF(I656&lt;=1,"0-1 days",IF(I656&lt;=7,"2-7 days",IF(I656&lt;=30,"8-30 days","&gt;30 days")))</f>
        <v>8-30 days</v>
      </c>
    </row>
    <row r="657" customFormat="false" ht="15" hidden="false" customHeight="false" outlineLevel="0" collapsed="false">
      <c r="A657" s="12" t="s">
        <v>898</v>
      </c>
      <c r="B657" s="12" t="n">
        <v>52</v>
      </c>
      <c r="C657" s="12" t="s">
        <v>34</v>
      </c>
      <c r="D657" s="12" t="s">
        <v>69</v>
      </c>
      <c r="E657" s="12" t="s">
        <v>324</v>
      </c>
      <c r="F657" s="12" t="s">
        <v>45</v>
      </c>
      <c r="G657" s="12" t="s">
        <v>38</v>
      </c>
      <c r="H657" s="12" t="s">
        <v>46</v>
      </c>
      <c r="I657" s="12" t="n">
        <v>15</v>
      </c>
      <c r="J657" s="12" t="s">
        <v>47</v>
      </c>
      <c r="K657" s="12" t="s">
        <v>147</v>
      </c>
      <c r="L657" s="12" t="str">
        <f aca="false">IF(OR(H657="Severe",H657="Life-Threatening"),"Yes","No")</f>
        <v>No</v>
      </c>
      <c r="M657" s="12" t="str">
        <f aca="false">IF(B657&lt;18,"0-17",IF(B657&lt;40,"18-39",IF(B657&lt;60,"40-59","60+")))</f>
        <v>40-59</v>
      </c>
      <c r="N657" s="12" t="str">
        <f aca="false">IF(I657&lt;=1,"0-1 days",IF(I657&lt;=7,"2-7 days",IF(I657&lt;=30,"8-30 days","&gt;30 days")))</f>
        <v>8-30 days</v>
      </c>
    </row>
    <row r="658" customFormat="false" ht="15" hidden="false" customHeight="false" outlineLevel="0" collapsed="false">
      <c r="A658" s="12" t="s">
        <v>899</v>
      </c>
      <c r="B658" s="12" t="n">
        <v>37</v>
      </c>
      <c r="C658" s="12" t="s">
        <v>34</v>
      </c>
      <c r="D658" s="12" t="s">
        <v>35</v>
      </c>
      <c r="E658" s="12" t="s">
        <v>183</v>
      </c>
      <c r="F658" s="12" t="s">
        <v>325</v>
      </c>
      <c r="G658" s="12" t="s">
        <v>177</v>
      </c>
      <c r="H658" s="12" t="s">
        <v>46</v>
      </c>
      <c r="I658" s="12" t="n">
        <v>16</v>
      </c>
      <c r="J658" s="12" t="s">
        <v>40</v>
      </c>
      <c r="K658" s="12" t="s">
        <v>48</v>
      </c>
      <c r="L658" s="12" t="str">
        <f aca="false">IF(OR(H658="Severe",H658="Life-Threatening"),"Yes","No")</f>
        <v>No</v>
      </c>
      <c r="M658" s="12" t="str">
        <f aca="false">IF(B658&lt;18,"0-17",IF(B658&lt;40,"18-39",IF(B658&lt;60,"40-59","60+")))</f>
        <v>18-39</v>
      </c>
      <c r="N658" s="12" t="str">
        <f aca="false">IF(I658&lt;=1,"0-1 days",IF(I658&lt;=7,"2-7 days",IF(I658&lt;=30,"8-30 days","&gt;30 days")))</f>
        <v>8-30 days</v>
      </c>
    </row>
    <row r="659" customFormat="false" ht="15" hidden="false" customHeight="false" outlineLevel="0" collapsed="false">
      <c r="A659" s="12" t="s">
        <v>900</v>
      </c>
      <c r="B659" s="12" t="n">
        <v>29</v>
      </c>
      <c r="C659" s="12" t="s">
        <v>34</v>
      </c>
      <c r="D659" s="12" t="s">
        <v>55</v>
      </c>
      <c r="E659" s="12" t="s">
        <v>656</v>
      </c>
      <c r="F659" s="12" t="s">
        <v>751</v>
      </c>
      <c r="G659" s="12" t="s">
        <v>58</v>
      </c>
      <c r="H659" s="12" t="s">
        <v>39</v>
      </c>
      <c r="I659" s="12" t="n">
        <v>1</v>
      </c>
      <c r="J659" s="12" t="s">
        <v>40</v>
      </c>
      <c r="K659" s="12" t="s">
        <v>48</v>
      </c>
      <c r="L659" s="12" t="str">
        <f aca="false">IF(OR(H659="Severe",H659="Life-Threatening"),"Yes","No")</f>
        <v>No</v>
      </c>
      <c r="M659" s="12" t="str">
        <f aca="false">IF(B659&lt;18,"0-17",IF(B659&lt;40,"18-39",IF(B659&lt;60,"40-59","60+")))</f>
        <v>18-39</v>
      </c>
      <c r="N659" s="12" t="str">
        <f aca="false">IF(I659&lt;=1,"0-1 days",IF(I659&lt;=7,"2-7 days",IF(I659&lt;=30,"8-30 days","&gt;30 days")))</f>
        <v>0-1 days</v>
      </c>
    </row>
    <row r="660" customFormat="false" ht="15" hidden="false" customHeight="false" outlineLevel="0" collapsed="false">
      <c r="A660" s="12" t="s">
        <v>901</v>
      </c>
      <c r="B660" s="12" t="n">
        <v>89</v>
      </c>
      <c r="C660" s="12" t="s">
        <v>34</v>
      </c>
      <c r="D660" s="12" t="s">
        <v>50</v>
      </c>
      <c r="E660" s="12" t="s">
        <v>200</v>
      </c>
      <c r="F660" s="12" t="s">
        <v>79</v>
      </c>
      <c r="G660" s="12" t="s">
        <v>80</v>
      </c>
      <c r="H660" s="12" t="s">
        <v>76</v>
      </c>
      <c r="I660" s="12" t="n">
        <v>8</v>
      </c>
      <c r="J660" s="12" t="s">
        <v>47</v>
      </c>
      <c r="K660" s="12" t="s">
        <v>41</v>
      </c>
      <c r="L660" s="12" t="str">
        <f aca="false">IF(OR(H660="Severe",H660="Life-Threatening"),"Yes","No")</f>
        <v>Yes</v>
      </c>
      <c r="M660" s="12" t="str">
        <f aca="false">IF(B660&lt;18,"0-17",IF(B660&lt;40,"18-39",IF(B660&lt;60,"40-59","60+")))</f>
        <v>60+</v>
      </c>
      <c r="N660" s="12" t="str">
        <f aca="false">IF(I660&lt;=1,"0-1 days",IF(I660&lt;=7,"2-7 days",IF(I660&lt;=30,"8-30 days","&gt;30 days")))</f>
        <v>8-30 days</v>
      </c>
    </row>
    <row r="661" customFormat="false" ht="15" hidden="false" customHeight="false" outlineLevel="0" collapsed="false">
      <c r="A661" s="12" t="s">
        <v>902</v>
      </c>
      <c r="B661" s="12" t="n">
        <v>74</v>
      </c>
      <c r="C661" s="12" t="s">
        <v>34</v>
      </c>
      <c r="D661" s="12" t="s">
        <v>168</v>
      </c>
      <c r="E661" s="12" t="s">
        <v>268</v>
      </c>
      <c r="F661" s="12" t="s">
        <v>269</v>
      </c>
      <c r="G661" s="12" t="s">
        <v>38</v>
      </c>
      <c r="H661" s="12" t="s">
        <v>46</v>
      </c>
      <c r="I661" s="12" t="n">
        <v>22</v>
      </c>
      <c r="J661" s="12" t="s">
        <v>40</v>
      </c>
      <c r="K661" s="12" t="s">
        <v>48</v>
      </c>
      <c r="L661" s="12" t="str">
        <f aca="false">IF(OR(H661="Severe",H661="Life-Threatening"),"Yes","No")</f>
        <v>No</v>
      </c>
      <c r="M661" s="12" t="str">
        <f aca="false">IF(B661&lt;18,"0-17",IF(B661&lt;40,"18-39",IF(B661&lt;60,"40-59","60+")))</f>
        <v>60+</v>
      </c>
      <c r="N661" s="12" t="str">
        <f aca="false">IF(I661&lt;=1,"0-1 days",IF(I661&lt;=7,"2-7 days",IF(I661&lt;=30,"8-30 days","&gt;30 days")))</f>
        <v>8-30 days</v>
      </c>
    </row>
    <row r="662" customFormat="false" ht="15" hidden="false" customHeight="false" outlineLevel="0" collapsed="false">
      <c r="A662" s="12" t="s">
        <v>903</v>
      </c>
      <c r="B662" s="12" t="n">
        <v>76</v>
      </c>
      <c r="C662" s="12" t="s">
        <v>34</v>
      </c>
      <c r="D662" s="12" t="s">
        <v>50</v>
      </c>
      <c r="E662" s="12" t="s">
        <v>266</v>
      </c>
      <c r="F662" s="12" t="s">
        <v>214</v>
      </c>
      <c r="G662" s="12" t="s">
        <v>115</v>
      </c>
      <c r="H662" s="12" t="s">
        <v>39</v>
      </c>
      <c r="I662" s="12" t="n">
        <v>19</v>
      </c>
      <c r="J662" s="12" t="s">
        <v>40</v>
      </c>
      <c r="K662" s="12" t="s">
        <v>63</v>
      </c>
      <c r="L662" s="12" t="str">
        <f aca="false">IF(OR(H662="Severe",H662="Life-Threatening"),"Yes","No")</f>
        <v>No</v>
      </c>
      <c r="M662" s="12" t="str">
        <f aca="false">IF(B662&lt;18,"0-17",IF(B662&lt;40,"18-39",IF(B662&lt;60,"40-59","60+")))</f>
        <v>60+</v>
      </c>
      <c r="N662" s="12" t="str">
        <f aca="false">IF(I662&lt;=1,"0-1 days",IF(I662&lt;=7,"2-7 days",IF(I662&lt;=30,"8-30 days","&gt;30 days")))</f>
        <v>8-30 days</v>
      </c>
    </row>
    <row r="663" customFormat="false" ht="15" hidden="false" customHeight="false" outlineLevel="0" collapsed="false">
      <c r="A663" s="12" t="s">
        <v>904</v>
      </c>
      <c r="B663" s="12" t="n">
        <v>45</v>
      </c>
      <c r="C663" s="12" t="s">
        <v>34</v>
      </c>
      <c r="D663" s="12" t="s">
        <v>155</v>
      </c>
      <c r="E663" s="12" t="s">
        <v>243</v>
      </c>
      <c r="F663" s="12" t="s">
        <v>348</v>
      </c>
      <c r="G663" s="12" t="s">
        <v>94</v>
      </c>
      <c r="H663" s="12" t="s">
        <v>76</v>
      </c>
      <c r="I663" s="12" t="n">
        <v>26</v>
      </c>
      <c r="J663" s="12" t="s">
        <v>40</v>
      </c>
      <c r="K663" s="12" t="s">
        <v>48</v>
      </c>
      <c r="L663" s="12" t="str">
        <f aca="false">IF(OR(H663="Severe",H663="Life-Threatening"),"Yes","No")</f>
        <v>Yes</v>
      </c>
      <c r="M663" s="12" t="str">
        <f aca="false">IF(B663&lt;18,"0-17",IF(B663&lt;40,"18-39",IF(B663&lt;60,"40-59","60+")))</f>
        <v>40-59</v>
      </c>
      <c r="N663" s="12" t="str">
        <f aca="false">IF(I663&lt;=1,"0-1 days",IF(I663&lt;=7,"2-7 days",IF(I663&lt;=30,"8-30 days","&gt;30 days")))</f>
        <v>8-30 days</v>
      </c>
    </row>
    <row r="664" customFormat="false" ht="15" hidden="false" customHeight="false" outlineLevel="0" collapsed="false">
      <c r="A664" s="12" t="s">
        <v>905</v>
      </c>
      <c r="B664" s="12" t="n">
        <v>49</v>
      </c>
      <c r="C664" s="12" t="s">
        <v>43</v>
      </c>
      <c r="D664" s="12" t="s">
        <v>102</v>
      </c>
      <c r="E664" s="12" t="s">
        <v>200</v>
      </c>
      <c r="F664" s="12" t="s">
        <v>79</v>
      </c>
      <c r="G664" s="12" t="s">
        <v>80</v>
      </c>
      <c r="H664" s="12" t="s">
        <v>39</v>
      </c>
      <c r="I664" s="12" t="n">
        <v>3</v>
      </c>
      <c r="J664" s="12" t="s">
        <v>40</v>
      </c>
      <c r="K664" s="12" t="s">
        <v>48</v>
      </c>
      <c r="L664" s="12" t="str">
        <f aca="false">IF(OR(H664="Severe",H664="Life-Threatening"),"Yes","No")</f>
        <v>No</v>
      </c>
      <c r="M664" s="12" t="str">
        <f aca="false">IF(B664&lt;18,"0-17",IF(B664&lt;40,"18-39",IF(B664&lt;60,"40-59","60+")))</f>
        <v>40-59</v>
      </c>
      <c r="N664" s="12" t="str">
        <f aca="false">IF(I664&lt;=1,"0-1 days",IF(I664&lt;=7,"2-7 days",IF(I664&lt;=30,"8-30 days","&gt;30 days")))</f>
        <v>2-7 days</v>
      </c>
    </row>
    <row r="665" customFormat="false" ht="15" hidden="false" customHeight="false" outlineLevel="0" collapsed="false">
      <c r="A665" s="12" t="s">
        <v>906</v>
      </c>
      <c r="B665" s="12" t="n">
        <v>27</v>
      </c>
      <c r="C665" s="12" t="s">
        <v>34</v>
      </c>
      <c r="D665" s="12" t="s">
        <v>35</v>
      </c>
      <c r="E665" s="12" t="s">
        <v>36</v>
      </c>
      <c r="F665" s="12" t="s">
        <v>37</v>
      </c>
      <c r="G665" s="12" t="s">
        <v>38</v>
      </c>
      <c r="H665" s="12" t="s">
        <v>39</v>
      </c>
      <c r="I665" s="12" t="n">
        <v>22</v>
      </c>
      <c r="J665" s="12" t="s">
        <v>40</v>
      </c>
      <c r="K665" s="12" t="s">
        <v>63</v>
      </c>
      <c r="L665" s="12" t="str">
        <f aca="false">IF(OR(H665="Severe",H665="Life-Threatening"),"Yes","No")</f>
        <v>No</v>
      </c>
      <c r="M665" s="12" t="str">
        <f aca="false">IF(B665&lt;18,"0-17",IF(B665&lt;40,"18-39",IF(B665&lt;60,"40-59","60+")))</f>
        <v>18-39</v>
      </c>
      <c r="N665" s="12" t="str">
        <f aca="false">IF(I665&lt;=1,"0-1 days",IF(I665&lt;=7,"2-7 days",IF(I665&lt;=30,"8-30 days","&gt;30 days")))</f>
        <v>8-30 days</v>
      </c>
    </row>
    <row r="666" customFormat="false" ht="15" hidden="false" customHeight="false" outlineLevel="0" collapsed="false">
      <c r="A666" s="12" t="s">
        <v>907</v>
      </c>
      <c r="B666" s="12" t="n">
        <v>34</v>
      </c>
      <c r="C666" s="12" t="s">
        <v>43</v>
      </c>
      <c r="D666" s="12" t="s">
        <v>55</v>
      </c>
      <c r="E666" s="12" t="s">
        <v>175</v>
      </c>
      <c r="F666" s="12" t="s">
        <v>371</v>
      </c>
      <c r="G666" s="12" t="s">
        <v>72</v>
      </c>
      <c r="H666" s="12" t="s">
        <v>59</v>
      </c>
      <c r="I666" s="12" t="n">
        <v>30</v>
      </c>
      <c r="J666" s="12" t="s">
        <v>67</v>
      </c>
      <c r="K666" s="12" t="s">
        <v>48</v>
      </c>
      <c r="L666" s="12" t="str">
        <f aca="false">IF(OR(H666="Severe",H666="Life-Threatening"),"Yes","No")</f>
        <v>Yes</v>
      </c>
      <c r="M666" s="12" t="str">
        <f aca="false">IF(B666&lt;18,"0-17",IF(B666&lt;40,"18-39",IF(B666&lt;60,"40-59","60+")))</f>
        <v>18-39</v>
      </c>
      <c r="N666" s="12" t="str">
        <f aca="false">IF(I666&lt;=1,"0-1 days",IF(I666&lt;=7,"2-7 days",IF(I666&lt;=30,"8-30 days","&gt;30 days")))</f>
        <v>8-30 days</v>
      </c>
    </row>
    <row r="667" customFormat="false" ht="15" hidden="false" customHeight="false" outlineLevel="0" collapsed="false">
      <c r="A667" s="12" t="s">
        <v>908</v>
      </c>
      <c r="B667" s="12" t="n">
        <v>85</v>
      </c>
      <c r="C667" s="12" t="s">
        <v>43</v>
      </c>
      <c r="D667" s="12" t="s">
        <v>168</v>
      </c>
      <c r="E667" s="12" t="s">
        <v>51</v>
      </c>
      <c r="F667" s="12" t="s">
        <v>145</v>
      </c>
      <c r="G667" s="12" t="s">
        <v>146</v>
      </c>
      <c r="H667" s="12" t="s">
        <v>76</v>
      </c>
      <c r="I667" s="12" t="n">
        <v>29</v>
      </c>
      <c r="J667" s="12" t="s">
        <v>40</v>
      </c>
      <c r="K667" s="12" t="s">
        <v>63</v>
      </c>
      <c r="L667" s="12" t="str">
        <f aca="false">IF(OR(H667="Severe",H667="Life-Threatening"),"Yes","No")</f>
        <v>Yes</v>
      </c>
      <c r="M667" s="12" t="str">
        <f aca="false">IF(B667&lt;18,"0-17",IF(B667&lt;40,"18-39",IF(B667&lt;60,"40-59","60+")))</f>
        <v>60+</v>
      </c>
      <c r="N667" s="12" t="str">
        <f aca="false">IF(I667&lt;=1,"0-1 days",IF(I667&lt;=7,"2-7 days",IF(I667&lt;=30,"8-30 days","&gt;30 days")))</f>
        <v>8-30 days</v>
      </c>
    </row>
    <row r="668" customFormat="false" ht="15" hidden="false" customHeight="false" outlineLevel="0" collapsed="false">
      <c r="A668" s="12" t="s">
        <v>909</v>
      </c>
      <c r="B668" s="12" t="n">
        <v>48</v>
      </c>
      <c r="C668" s="12" t="s">
        <v>43</v>
      </c>
      <c r="D668" s="12" t="s">
        <v>231</v>
      </c>
      <c r="E668" s="12" t="s">
        <v>280</v>
      </c>
      <c r="F668" s="12" t="s">
        <v>45</v>
      </c>
      <c r="G668" s="12" t="s">
        <v>38</v>
      </c>
      <c r="H668" s="12" t="s">
        <v>46</v>
      </c>
      <c r="I668" s="12" t="n">
        <v>25</v>
      </c>
      <c r="J668" s="12" t="s">
        <v>40</v>
      </c>
      <c r="K668" s="12" t="s">
        <v>147</v>
      </c>
      <c r="L668" s="12" t="str">
        <f aca="false">IF(OR(H668="Severe",H668="Life-Threatening"),"Yes","No")</f>
        <v>No</v>
      </c>
      <c r="M668" s="12" t="str">
        <f aca="false">IF(B668&lt;18,"0-17",IF(B668&lt;40,"18-39",IF(B668&lt;60,"40-59","60+")))</f>
        <v>40-59</v>
      </c>
      <c r="N668" s="12" t="str">
        <f aca="false">IF(I668&lt;=1,"0-1 days",IF(I668&lt;=7,"2-7 days",IF(I668&lt;=30,"8-30 days","&gt;30 days")))</f>
        <v>8-30 days</v>
      </c>
    </row>
    <row r="669" customFormat="false" ht="15" hidden="false" customHeight="false" outlineLevel="0" collapsed="false">
      <c r="A669" s="12" t="s">
        <v>910</v>
      </c>
      <c r="B669" s="12" t="n">
        <v>56</v>
      </c>
      <c r="C669" s="12" t="s">
        <v>43</v>
      </c>
      <c r="D669" s="12" t="s">
        <v>120</v>
      </c>
      <c r="E669" s="12" t="s">
        <v>268</v>
      </c>
      <c r="F669" s="12" t="s">
        <v>269</v>
      </c>
      <c r="G669" s="12" t="s">
        <v>38</v>
      </c>
      <c r="H669" s="12" t="s">
        <v>39</v>
      </c>
      <c r="I669" s="12" t="n">
        <v>5</v>
      </c>
      <c r="J669" s="12" t="s">
        <v>40</v>
      </c>
      <c r="K669" s="12" t="s">
        <v>147</v>
      </c>
      <c r="L669" s="12" t="str">
        <f aca="false">IF(OR(H669="Severe",H669="Life-Threatening"),"Yes","No")</f>
        <v>No</v>
      </c>
      <c r="M669" s="12" t="str">
        <f aca="false">IF(B669&lt;18,"0-17",IF(B669&lt;40,"18-39",IF(B669&lt;60,"40-59","60+")))</f>
        <v>40-59</v>
      </c>
      <c r="N669" s="12" t="str">
        <f aca="false">IF(I669&lt;=1,"0-1 days",IF(I669&lt;=7,"2-7 days",IF(I669&lt;=30,"8-30 days","&gt;30 days")))</f>
        <v>2-7 days</v>
      </c>
    </row>
    <row r="670" customFormat="false" ht="15" hidden="false" customHeight="false" outlineLevel="0" collapsed="false">
      <c r="A670" s="12" t="s">
        <v>911</v>
      </c>
      <c r="B670" s="12" t="n">
        <v>95</v>
      </c>
      <c r="C670" s="12" t="s">
        <v>34</v>
      </c>
      <c r="D670" s="12" t="s">
        <v>55</v>
      </c>
      <c r="E670" s="12" t="s">
        <v>158</v>
      </c>
      <c r="F670" s="12" t="s">
        <v>249</v>
      </c>
      <c r="G670" s="12" t="s">
        <v>152</v>
      </c>
      <c r="H670" s="12" t="s">
        <v>46</v>
      </c>
      <c r="I670" s="12" t="n">
        <v>9</v>
      </c>
      <c r="J670" s="12" t="s">
        <v>40</v>
      </c>
      <c r="K670" s="12" t="s">
        <v>63</v>
      </c>
      <c r="L670" s="12" t="str">
        <f aca="false">IF(OR(H670="Severe",H670="Life-Threatening"),"Yes","No")</f>
        <v>No</v>
      </c>
      <c r="M670" s="12" t="str">
        <f aca="false">IF(B670&lt;18,"0-17",IF(B670&lt;40,"18-39",IF(B670&lt;60,"40-59","60+")))</f>
        <v>60+</v>
      </c>
      <c r="N670" s="12" t="str">
        <f aca="false">IF(I670&lt;=1,"0-1 days",IF(I670&lt;=7,"2-7 days",IF(I670&lt;=30,"8-30 days","&gt;30 days")))</f>
        <v>8-30 days</v>
      </c>
    </row>
    <row r="671" customFormat="false" ht="15" hidden="false" customHeight="false" outlineLevel="0" collapsed="false">
      <c r="A671" s="12" t="s">
        <v>912</v>
      </c>
      <c r="B671" s="12" t="n">
        <v>50</v>
      </c>
      <c r="C671" s="12" t="s">
        <v>43</v>
      </c>
      <c r="D671" s="12" t="s">
        <v>163</v>
      </c>
      <c r="E671" s="12" t="s">
        <v>78</v>
      </c>
      <c r="F671" s="12" t="s">
        <v>403</v>
      </c>
      <c r="G671" s="12" t="s">
        <v>80</v>
      </c>
      <c r="H671" s="12" t="s">
        <v>46</v>
      </c>
      <c r="I671" s="12" t="n">
        <v>3</v>
      </c>
      <c r="J671" s="12" t="s">
        <v>40</v>
      </c>
      <c r="K671" s="12" t="s">
        <v>63</v>
      </c>
      <c r="L671" s="12" t="str">
        <f aca="false">IF(OR(H671="Severe",H671="Life-Threatening"),"Yes","No")</f>
        <v>No</v>
      </c>
      <c r="M671" s="12" t="str">
        <f aca="false">IF(B671&lt;18,"0-17",IF(B671&lt;40,"18-39",IF(B671&lt;60,"40-59","60+")))</f>
        <v>40-59</v>
      </c>
      <c r="N671" s="12" t="str">
        <f aca="false">IF(I671&lt;=1,"0-1 days",IF(I671&lt;=7,"2-7 days",IF(I671&lt;=30,"8-30 days","&gt;30 days")))</f>
        <v>2-7 days</v>
      </c>
    </row>
    <row r="672" customFormat="false" ht="15" hidden="false" customHeight="false" outlineLevel="0" collapsed="false">
      <c r="A672" s="12" t="s">
        <v>913</v>
      </c>
      <c r="B672" s="12" t="n">
        <v>24</v>
      </c>
      <c r="C672" s="12" t="s">
        <v>34</v>
      </c>
      <c r="D672" s="12" t="s">
        <v>112</v>
      </c>
      <c r="E672" s="12" t="s">
        <v>173</v>
      </c>
      <c r="F672" s="12" t="s">
        <v>114</v>
      </c>
      <c r="G672" s="12" t="s">
        <v>115</v>
      </c>
      <c r="H672" s="12" t="s">
        <v>76</v>
      </c>
      <c r="I672" s="12" t="n">
        <v>31</v>
      </c>
      <c r="J672" s="12" t="s">
        <v>40</v>
      </c>
      <c r="K672" s="12" t="s">
        <v>147</v>
      </c>
      <c r="L672" s="12" t="str">
        <f aca="false">IF(OR(H672="Severe",H672="Life-Threatening"),"Yes","No")</f>
        <v>Yes</v>
      </c>
      <c r="M672" s="12" t="str">
        <f aca="false">IF(B672&lt;18,"0-17",IF(B672&lt;40,"18-39",IF(B672&lt;60,"40-59","60+")))</f>
        <v>18-39</v>
      </c>
      <c r="N672" s="12" t="str">
        <f aca="false">IF(I672&lt;=1,"0-1 days",IF(I672&lt;=7,"2-7 days",IF(I672&lt;=30,"8-30 days","&gt;30 days")))</f>
        <v>&gt;30 days</v>
      </c>
    </row>
    <row r="673" customFormat="false" ht="15" hidden="false" customHeight="false" outlineLevel="0" collapsed="false">
      <c r="A673" s="12" t="s">
        <v>914</v>
      </c>
      <c r="B673" s="12" t="n">
        <v>56</v>
      </c>
      <c r="C673" s="12" t="s">
        <v>43</v>
      </c>
      <c r="D673" s="12" t="s">
        <v>474</v>
      </c>
      <c r="E673" s="12" t="s">
        <v>186</v>
      </c>
      <c r="F673" s="12" t="s">
        <v>131</v>
      </c>
      <c r="G673" s="12" t="s">
        <v>94</v>
      </c>
      <c r="H673" s="12" t="s">
        <v>59</v>
      </c>
      <c r="I673" s="12" t="n">
        <v>1</v>
      </c>
      <c r="J673" s="12" t="s">
        <v>67</v>
      </c>
      <c r="K673" s="12" t="s">
        <v>147</v>
      </c>
      <c r="L673" s="12" t="str">
        <f aca="false">IF(OR(H673="Severe",H673="Life-Threatening"),"Yes","No")</f>
        <v>Yes</v>
      </c>
      <c r="M673" s="12" t="str">
        <f aca="false">IF(B673&lt;18,"0-17",IF(B673&lt;40,"18-39",IF(B673&lt;60,"40-59","60+")))</f>
        <v>40-59</v>
      </c>
      <c r="N673" s="12" t="str">
        <f aca="false">IF(I673&lt;=1,"0-1 days",IF(I673&lt;=7,"2-7 days",IF(I673&lt;=30,"8-30 days","&gt;30 days")))</f>
        <v>0-1 days</v>
      </c>
    </row>
    <row r="674" customFormat="false" ht="15" hidden="false" customHeight="false" outlineLevel="0" collapsed="false">
      <c r="A674" s="12" t="s">
        <v>915</v>
      </c>
      <c r="B674" s="12" t="n">
        <v>40</v>
      </c>
      <c r="C674" s="12" t="s">
        <v>34</v>
      </c>
      <c r="D674" s="12" t="s">
        <v>155</v>
      </c>
      <c r="E674" s="12" t="s">
        <v>179</v>
      </c>
      <c r="F674" s="12" t="s">
        <v>325</v>
      </c>
      <c r="G674" s="12" t="s">
        <v>177</v>
      </c>
      <c r="H674" s="12" t="s">
        <v>59</v>
      </c>
      <c r="I674" s="12" t="n">
        <v>26</v>
      </c>
      <c r="J674" s="12" t="s">
        <v>105</v>
      </c>
      <c r="K674" s="12" t="s">
        <v>48</v>
      </c>
      <c r="L674" s="12" t="str">
        <f aca="false">IF(OR(H674="Severe",H674="Life-Threatening"),"Yes","No")</f>
        <v>Yes</v>
      </c>
      <c r="M674" s="12" t="str">
        <f aca="false">IF(B674&lt;18,"0-17",IF(B674&lt;40,"18-39",IF(B674&lt;60,"40-59","60+")))</f>
        <v>40-59</v>
      </c>
      <c r="N674" s="12" t="str">
        <f aca="false">IF(I674&lt;=1,"0-1 days",IF(I674&lt;=7,"2-7 days",IF(I674&lt;=30,"8-30 days","&gt;30 days")))</f>
        <v>8-30 days</v>
      </c>
    </row>
    <row r="675" customFormat="false" ht="15" hidden="false" customHeight="false" outlineLevel="0" collapsed="false">
      <c r="A675" s="12" t="s">
        <v>916</v>
      </c>
      <c r="B675" s="12" t="n">
        <v>25</v>
      </c>
      <c r="C675" s="12" t="s">
        <v>34</v>
      </c>
      <c r="D675" s="12" t="s">
        <v>35</v>
      </c>
      <c r="E675" s="12" t="s">
        <v>74</v>
      </c>
      <c r="F675" s="12" t="s">
        <v>139</v>
      </c>
      <c r="G675" s="12" t="s">
        <v>38</v>
      </c>
      <c r="H675" s="12" t="s">
        <v>39</v>
      </c>
      <c r="I675" s="12" t="n">
        <v>20</v>
      </c>
      <c r="J675" s="12" t="s">
        <v>40</v>
      </c>
      <c r="K675" s="12" t="s">
        <v>63</v>
      </c>
      <c r="L675" s="12" t="str">
        <f aca="false">IF(OR(H675="Severe",H675="Life-Threatening"),"Yes","No")</f>
        <v>No</v>
      </c>
      <c r="M675" s="12" t="str">
        <f aca="false">IF(B675&lt;18,"0-17",IF(B675&lt;40,"18-39",IF(B675&lt;60,"40-59","60+")))</f>
        <v>18-39</v>
      </c>
      <c r="N675" s="12" t="str">
        <f aca="false">IF(I675&lt;=1,"0-1 days",IF(I675&lt;=7,"2-7 days",IF(I675&lt;=30,"8-30 days","&gt;30 days")))</f>
        <v>8-30 days</v>
      </c>
    </row>
    <row r="676" customFormat="false" ht="15" hidden="false" customHeight="false" outlineLevel="0" collapsed="false">
      <c r="A676" s="12" t="s">
        <v>917</v>
      </c>
      <c r="B676" s="12" t="n">
        <v>49</v>
      </c>
      <c r="C676" s="12" t="s">
        <v>43</v>
      </c>
      <c r="D676" s="12" t="s">
        <v>245</v>
      </c>
      <c r="E676" s="12" t="s">
        <v>206</v>
      </c>
      <c r="F676" s="12" t="s">
        <v>62</v>
      </c>
      <c r="G676" s="12" t="s">
        <v>53</v>
      </c>
      <c r="H676" s="12" t="s">
        <v>39</v>
      </c>
      <c r="I676" s="12" t="n">
        <v>9</v>
      </c>
      <c r="J676" s="12" t="s">
        <v>47</v>
      </c>
      <c r="K676" s="12" t="s">
        <v>48</v>
      </c>
      <c r="L676" s="12" t="str">
        <f aca="false">IF(OR(H676="Severe",H676="Life-Threatening"),"Yes","No")</f>
        <v>No</v>
      </c>
      <c r="M676" s="12" t="str">
        <f aca="false">IF(B676&lt;18,"0-17",IF(B676&lt;40,"18-39",IF(B676&lt;60,"40-59","60+")))</f>
        <v>40-59</v>
      </c>
      <c r="N676" s="12" t="str">
        <f aca="false">IF(I676&lt;=1,"0-1 days",IF(I676&lt;=7,"2-7 days",IF(I676&lt;=30,"8-30 days","&gt;30 days")))</f>
        <v>8-30 days</v>
      </c>
    </row>
    <row r="677" customFormat="false" ht="15" hidden="false" customHeight="false" outlineLevel="0" collapsed="false">
      <c r="A677" s="12" t="s">
        <v>918</v>
      </c>
      <c r="B677" s="12" t="n">
        <v>28</v>
      </c>
      <c r="C677" s="12" t="s">
        <v>34</v>
      </c>
      <c r="D677" s="12" t="s">
        <v>69</v>
      </c>
      <c r="E677" s="12" t="s">
        <v>229</v>
      </c>
      <c r="F677" s="12" t="s">
        <v>214</v>
      </c>
      <c r="G677" s="12" t="s">
        <v>115</v>
      </c>
      <c r="H677" s="12" t="s">
        <v>39</v>
      </c>
      <c r="I677" s="12" t="n">
        <v>24</v>
      </c>
      <c r="J677" s="12" t="s">
        <v>40</v>
      </c>
      <c r="K677" s="12" t="s">
        <v>147</v>
      </c>
      <c r="L677" s="12" t="str">
        <f aca="false">IF(OR(H677="Severe",H677="Life-Threatening"),"Yes","No")</f>
        <v>No</v>
      </c>
      <c r="M677" s="12" t="str">
        <f aca="false">IF(B677&lt;18,"0-17",IF(B677&lt;40,"18-39",IF(B677&lt;60,"40-59","60+")))</f>
        <v>18-39</v>
      </c>
      <c r="N677" s="12" t="str">
        <f aca="false">IF(I677&lt;=1,"0-1 days",IF(I677&lt;=7,"2-7 days",IF(I677&lt;=30,"8-30 days","&gt;30 days")))</f>
        <v>8-30 days</v>
      </c>
    </row>
    <row r="678" customFormat="false" ht="15" hidden="false" customHeight="false" outlineLevel="0" collapsed="false">
      <c r="A678" s="12" t="s">
        <v>919</v>
      </c>
      <c r="B678" s="12" t="n">
        <v>53</v>
      </c>
      <c r="C678" s="12" t="s">
        <v>43</v>
      </c>
      <c r="D678" s="12" t="s">
        <v>211</v>
      </c>
      <c r="E678" s="12" t="s">
        <v>188</v>
      </c>
      <c r="F678" s="12" t="s">
        <v>79</v>
      </c>
      <c r="G678" s="12" t="s">
        <v>80</v>
      </c>
      <c r="H678" s="12" t="s">
        <v>39</v>
      </c>
      <c r="I678" s="12" t="n">
        <v>11</v>
      </c>
      <c r="J678" s="12" t="s">
        <v>47</v>
      </c>
      <c r="K678" s="12" t="s">
        <v>63</v>
      </c>
      <c r="L678" s="12" t="str">
        <f aca="false">IF(OR(H678="Severe",H678="Life-Threatening"),"Yes","No")</f>
        <v>No</v>
      </c>
      <c r="M678" s="12" t="str">
        <f aca="false">IF(B678&lt;18,"0-17",IF(B678&lt;40,"18-39",IF(B678&lt;60,"40-59","60+")))</f>
        <v>40-59</v>
      </c>
      <c r="N678" s="12" t="str">
        <f aca="false">IF(I678&lt;=1,"0-1 days",IF(I678&lt;=7,"2-7 days",IF(I678&lt;=30,"8-30 days","&gt;30 days")))</f>
        <v>8-30 days</v>
      </c>
    </row>
    <row r="679" customFormat="false" ht="15" hidden="false" customHeight="false" outlineLevel="0" collapsed="false">
      <c r="A679" s="12" t="s">
        <v>920</v>
      </c>
      <c r="B679" s="12" t="n">
        <v>1</v>
      </c>
      <c r="C679" s="12" t="s">
        <v>43</v>
      </c>
      <c r="D679" s="12" t="s">
        <v>35</v>
      </c>
      <c r="E679" s="12" t="s">
        <v>332</v>
      </c>
      <c r="F679" s="12" t="s">
        <v>333</v>
      </c>
      <c r="G679" s="12" t="s">
        <v>104</v>
      </c>
      <c r="H679" s="12" t="s">
        <v>39</v>
      </c>
      <c r="I679" s="12" t="n">
        <v>1</v>
      </c>
      <c r="J679" s="12" t="s">
        <v>40</v>
      </c>
      <c r="K679" s="12" t="s">
        <v>63</v>
      </c>
      <c r="L679" s="12" t="str">
        <f aca="false">IF(OR(H679="Severe",H679="Life-Threatening"),"Yes","No")</f>
        <v>No</v>
      </c>
      <c r="M679" s="12" t="str">
        <f aca="false">IF(B679&lt;18,"0-17",IF(B679&lt;40,"18-39",IF(B679&lt;60,"40-59","60+")))</f>
        <v>0-17</v>
      </c>
      <c r="N679" s="12" t="str">
        <f aca="false">IF(I679&lt;=1,"0-1 days",IF(I679&lt;=7,"2-7 days",IF(I679&lt;=30,"8-30 days","&gt;30 days")))</f>
        <v>0-1 days</v>
      </c>
    </row>
    <row r="680" customFormat="false" ht="15" hidden="false" customHeight="false" outlineLevel="0" collapsed="false">
      <c r="A680" s="12" t="s">
        <v>921</v>
      </c>
      <c r="B680" s="12" t="n">
        <v>61</v>
      </c>
      <c r="C680" s="12" t="s">
        <v>43</v>
      </c>
      <c r="D680" s="12" t="s">
        <v>88</v>
      </c>
      <c r="E680" s="12" t="s">
        <v>332</v>
      </c>
      <c r="F680" s="12" t="s">
        <v>45</v>
      </c>
      <c r="G680" s="12" t="s">
        <v>38</v>
      </c>
      <c r="H680" s="12" t="s">
        <v>46</v>
      </c>
      <c r="I680" s="12" t="n">
        <v>25</v>
      </c>
      <c r="J680" s="12" t="s">
        <v>40</v>
      </c>
      <c r="K680" s="12" t="s">
        <v>63</v>
      </c>
      <c r="L680" s="12" t="str">
        <f aca="false">IF(OR(H680="Severe",H680="Life-Threatening"),"Yes","No")</f>
        <v>No</v>
      </c>
      <c r="M680" s="12" t="str">
        <f aca="false">IF(B680&lt;18,"0-17",IF(B680&lt;40,"18-39",IF(B680&lt;60,"40-59","60+")))</f>
        <v>60+</v>
      </c>
      <c r="N680" s="12" t="str">
        <f aca="false">IF(I680&lt;=1,"0-1 days",IF(I680&lt;=7,"2-7 days",IF(I680&lt;=30,"8-30 days","&gt;30 days")))</f>
        <v>8-30 days</v>
      </c>
    </row>
    <row r="681" customFormat="false" ht="15" hidden="false" customHeight="false" outlineLevel="0" collapsed="false">
      <c r="A681" s="12" t="s">
        <v>922</v>
      </c>
      <c r="B681" s="12" t="n">
        <v>41</v>
      </c>
      <c r="C681" s="12" t="s">
        <v>43</v>
      </c>
      <c r="D681" s="12" t="s">
        <v>102</v>
      </c>
      <c r="E681" s="12" t="s">
        <v>70</v>
      </c>
      <c r="F681" s="12" t="s">
        <v>71</v>
      </c>
      <c r="G681" s="12" t="s">
        <v>72</v>
      </c>
      <c r="H681" s="12" t="s">
        <v>76</v>
      </c>
      <c r="I681" s="12" t="n">
        <v>0</v>
      </c>
      <c r="J681" s="12" t="s">
        <v>47</v>
      </c>
      <c r="K681" s="12" t="s">
        <v>63</v>
      </c>
      <c r="L681" s="12" t="str">
        <f aca="false">IF(OR(H681="Severe",H681="Life-Threatening"),"Yes","No")</f>
        <v>Yes</v>
      </c>
      <c r="M681" s="12" t="str">
        <f aca="false">IF(B681&lt;18,"0-17",IF(B681&lt;40,"18-39",IF(B681&lt;60,"40-59","60+")))</f>
        <v>40-59</v>
      </c>
      <c r="N681" s="12" t="str">
        <f aca="false">IF(I681&lt;=1,"0-1 days",IF(I681&lt;=7,"2-7 days",IF(I681&lt;=30,"8-30 days","&gt;30 days")))</f>
        <v>0-1 days</v>
      </c>
    </row>
    <row r="682" customFormat="false" ht="15" hidden="false" customHeight="false" outlineLevel="0" collapsed="false">
      <c r="A682" s="12" t="s">
        <v>923</v>
      </c>
      <c r="B682" s="12" t="n">
        <v>52</v>
      </c>
      <c r="C682" s="12" t="s">
        <v>43</v>
      </c>
      <c r="D682" s="12" t="s">
        <v>668</v>
      </c>
      <c r="E682" s="12" t="s">
        <v>266</v>
      </c>
      <c r="F682" s="12" t="s">
        <v>114</v>
      </c>
      <c r="G682" s="12" t="s">
        <v>115</v>
      </c>
      <c r="H682" s="12" t="s">
        <v>39</v>
      </c>
      <c r="I682" s="12" t="n">
        <v>33</v>
      </c>
      <c r="J682" s="12" t="s">
        <v>40</v>
      </c>
      <c r="K682" s="12" t="s">
        <v>48</v>
      </c>
      <c r="L682" s="12" t="str">
        <f aca="false">IF(OR(H682="Severe",H682="Life-Threatening"),"Yes","No")</f>
        <v>No</v>
      </c>
      <c r="M682" s="12" t="str">
        <f aca="false">IF(B682&lt;18,"0-17",IF(B682&lt;40,"18-39",IF(B682&lt;60,"40-59","60+")))</f>
        <v>40-59</v>
      </c>
      <c r="N682" s="12" t="str">
        <f aca="false">IF(I682&lt;=1,"0-1 days",IF(I682&lt;=7,"2-7 days",IF(I682&lt;=30,"8-30 days","&gt;30 days")))</f>
        <v>&gt;30 days</v>
      </c>
    </row>
    <row r="683" customFormat="false" ht="15" hidden="false" customHeight="false" outlineLevel="0" collapsed="false">
      <c r="A683" s="12" t="s">
        <v>924</v>
      </c>
      <c r="B683" s="12" t="n">
        <v>65</v>
      </c>
      <c r="C683" s="12" t="s">
        <v>43</v>
      </c>
      <c r="D683" s="12" t="s">
        <v>82</v>
      </c>
      <c r="E683" s="12" t="s">
        <v>118</v>
      </c>
      <c r="F683" s="12" t="s">
        <v>192</v>
      </c>
      <c r="G683" s="12" t="s">
        <v>53</v>
      </c>
      <c r="H683" s="12" t="s">
        <v>59</v>
      </c>
      <c r="I683" s="12" t="n">
        <v>12</v>
      </c>
      <c r="J683" s="12" t="s">
        <v>105</v>
      </c>
      <c r="K683" s="12" t="s">
        <v>48</v>
      </c>
      <c r="L683" s="12" t="str">
        <f aca="false">IF(OR(H683="Severe",H683="Life-Threatening"),"Yes","No")</f>
        <v>Yes</v>
      </c>
      <c r="M683" s="12" t="str">
        <f aca="false">IF(B683&lt;18,"0-17",IF(B683&lt;40,"18-39",IF(B683&lt;60,"40-59","60+")))</f>
        <v>60+</v>
      </c>
      <c r="N683" s="12" t="str">
        <f aca="false">IF(I683&lt;=1,"0-1 days",IF(I683&lt;=7,"2-7 days",IF(I683&lt;=30,"8-30 days","&gt;30 days")))</f>
        <v>8-30 days</v>
      </c>
    </row>
    <row r="684" customFormat="false" ht="15" hidden="false" customHeight="false" outlineLevel="0" collapsed="false">
      <c r="A684" s="12" t="s">
        <v>925</v>
      </c>
      <c r="B684" s="12" t="n">
        <v>21</v>
      </c>
      <c r="C684" s="12" t="s">
        <v>43</v>
      </c>
      <c r="D684" s="12" t="s">
        <v>35</v>
      </c>
      <c r="E684" s="12" t="s">
        <v>243</v>
      </c>
      <c r="F684" s="12" t="s">
        <v>45</v>
      </c>
      <c r="G684" s="12" t="s">
        <v>38</v>
      </c>
      <c r="H684" s="12" t="s">
        <v>46</v>
      </c>
      <c r="I684" s="12" t="n">
        <v>13</v>
      </c>
      <c r="J684" s="12" t="s">
        <v>169</v>
      </c>
      <c r="K684" s="12" t="s">
        <v>41</v>
      </c>
      <c r="L684" s="12" t="str">
        <f aca="false">IF(OR(H684="Severe",H684="Life-Threatening"),"Yes","No")</f>
        <v>No</v>
      </c>
      <c r="M684" s="12" t="str">
        <f aca="false">IF(B684&lt;18,"0-17",IF(B684&lt;40,"18-39",IF(B684&lt;60,"40-59","60+")))</f>
        <v>18-39</v>
      </c>
      <c r="N684" s="12" t="str">
        <f aca="false">IF(I684&lt;=1,"0-1 days",IF(I684&lt;=7,"2-7 days",IF(I684&lt;=30,"8-30 days","&gt;30 days")))</f>
        <v>8-30 days</v>
      </c>
    </row>
    <row r="685" customFormat="false" ht="15" hidden="false" customHeight="false" outlineLevel="0" collapsed="false">
      <c r="A685" s="12" t="s">
        <v>926</v>
      </c>
      <c r="B685" s="12" t="n">
        <v>3</v>
      </c>
      <c r="C685" s="12" t="s">
        <v>34</v>
      </c>
      <c r="D685" s="12" t="s">
        <v>35</v>
      </c>
      <c r="E685" s="12" t="s">
        <v>44</v>
      </c>
      <c r="F685" s="12" t="s">
        <v>45</v>
      </c>
      <c r="G685" s="12" t="s">
        <v>38</v>
      </c>
      <c r="H685" s="12" t="s">
        <v>59</v>
      </c>
      <c r="I685" s="12" t="n">
        <v>9</v>
      </c>
      <c r="J685" s="12" t="s">
        <v>47</v>
      </c>
      <c r="K685" s="12" t="s">
        <v>63</v>
      </c>
      <c r="L685" s="12" t="str">
        <f aca="false">IF(OR(H685="Severe",H685="Life-Threatening"),"Yes","No")</f>
        <v>Yes</v>
      </c>
      <c r="M685" s="12" t="str">
        <f aca="false">IF(B685&lt;18,"0-17",IF(B685&lt;40,"18-39",IF(B685&lt;60,"40-59","60+")))</f>
        <v>0-17</v>
      </c>
      <c r="N685" s="12" t="str">
        <f aca="false">IF(I685&lt;=1,"0-1 days",IF(I685&lt;=7,"2-7 days",IF(I685&lt;=30,"8-30 days","&gt;30 days")))</f>
        <v>8-30 days</v>
      </c>
    </row>
    <row r="686" customFormat="false" ht="15" hidden="false" customHeight="false" outlineLevel="0" collapsed="false">
      <c r="A686" s="12" t="s">
        <v>927</v>
      </c>
      <c r="B686" s="12" t="n">
        <v>93</v>
      </c>
      <c r="C686" s="12" t="s">
        <v>34</v>
      </c>
      <c r="D686" s="12" t="s">
        <v>69</v>
      </c>
      <c r="E686" s="12" t="s">
        <v>243</v>
      </c>
      <c r="F686" s="12" t="s">
        <v>139</v>
      </c>
      <c r="G686" s="12" t="s">
        <v>38</v>
      </c>
      <c r="H686" s="12" t="s">
        <v>39</v>
      </c>
      <c r="I686" s="12" t="n">
        <v>2</v>
      </c>
      <c r="J686" s="12" t="s">
        <v>47</v>
      </c>
      <c r="K686" s="12" t="s">
        <v>48</v>
      </c>
      <c r="L686" s="12" t="str">
        <f aca="false">IF(OR(H686="Severe",H686="Life-Threatening"),"Yes","No")</f>
        <v>No</v>
      </c>
      <c r="M686" s="12" t="str">
        <f aca="false">IF(B686&lt;18,"0-17",IF(B686&lt;40,"18-39",IF(B686&lt;60,"40-59","60+")))</f>
        <v>60+</v>
      </c>
      <c r="N686" s="12" t="str">
        <f aca="false">IF(I686&lt;=1,"0-1 days",IF(I686&lt;=7,"2-7 days",IF(I686&lt;=30,"8-30 days","&gt;30 days")))</f>
        <v>2-7 days</v>
      </c>
    </row>
    <row r="687" customFormat="false" ht="15" hidden="false" customHeight="false" outlineLevel="0" collapsed="false">
      <c r="A687" s="12" t="s">
        <v>928</v>
      </c>
      <c r="B687" s="12" t="n">
        <v>76</v>
      </c>
      <c r="C687" s="12" t="s">
        <v>34</v>
      </c>
      <c r="D687" s="12" t="s">
        <v>88</v>
      </c>
      <c r="E687" s="12" t="s">
        <v>256</v>
      </c>
      <c r="F687" s="12" t="s">
        <v>165</v>
      </c>
      <c r="G687" s="12" t="s">
        <v>53</v>
      </c>
      <c r="H687" s="12" t="s">
        <v>76</v>
      </c>
      <c r="I687" s="12" t="n">
        <v>11</v>
      </c>
      <c r="J687" s="12" t="s">
        <v>169</v>
      </c>
      <c r="K687" s="12" t="s">
        <v>41</v>
      </c>
      <c r="L687" s="12" t="str">
        <f aca="false">IF(OR(H687="Severe",H687="Life-Threatening"),"Yes","No")</f>
        <v>Yes</v>
      </c>
      <c r="M687" s="12" t="str">
        <f aca="false">IF(B687&lt;18,"0-17",IF(B687&lt;40,"18-39",IF(B687&lt;60,"40-59","60+")))</f>
        <v>60+</v>
      </c>
      <c r="N687" s="12" t="str">
        <f aca="false">IF(I687&lt;=1,"0-1 days",IF(I687&lt;=7,"2-7 days",IF(I687&lt;=30,"8-30 days","&gt;30 days")))</f>
        <v>8-30 days</v>
      </c>
    </row>
    <row r="688" customFormat="false" ht="15" hidden="false" customHeight="false" outlineLevel="0" collapsed="false">
      <c r="A688" s="12" t="s">
        <v>929</v>
      </c>
      <c r="B688" s="12" t="n">
        <v>91</v>
      </c>
      <c r="C688" s="12" t="s">
        <v>34</v>
      </c>
      <c r="D688" s="12" t="s">
        <v>117</v>
      </c>
      <c r="E688" s="12" t="s">
        <v>268</v>
      </c>
      <c r="F688" s="12" t="s">
        <v>269</v>
      </c>
      <c r="G688" s="12" t="s">
        <v>38</v>
      </c>
      <c r="H688" s="12" t="s">
        <v>39</v>
      </c>
      <c r="I688" s="12" t="n">
        <v>20</v>
      </c>
      <c r="J688" s="12" t="s">
        <v>67</v>
      </c>
      <c r="K688" s="12" t="s">
        <v>63</v>
      </c>
      <c r="L688" s="12" t="str">
        <f aca="false">IF(OR(H688="Severe",H688="Life-Threatening"),"Yes","No")</f>
        <v>No</v>
      </c>
      <c r="M688" s="12" t="str">
        <f aca="false">IF(B688&lt;18,"0-17",IF(B688&lt;40,"18-39",IF(B688&lt;60,"40-59","60+")))</f>
        <v>60+</v>
      </c>
      <c r="N688" s="12" t="str">
        <f aca="false">IF(I688&lt;=1,"0-1 days",IF(I688&lt;=7,"2-7 days",IF(I688&lt;=30,"8-30 days","&gt;30 days")))</f>
        <v>8-30 days</v>
      </c>
    </row>
    <row r="689" customFormat="false" ht="15" hidden="false" customHeight="false" outlineLevel="0" collapsed="false">
      <c r="A689" s="12" t="s">
        <v>930</v>
      </c>
      <c r="B689" s="12" t="n">
        <v>65</v>
      </c>
      <c r="C689" s="12" t="s">
        <v>43</v>
      </c>
      <c r="D689" s="12" t="s">
        <v>55</v>
      </c>
      <c r="E689" s="12" t="s">
        <v>186</v>
      </c>
      <c r="F689" s="12" t="s">
        <v>131</v>
      </c>
      <c r="G689" s="12" t="s">
        <v>94</v>
      </c>
      <c r="H689" s="12" t="s">
        <v>39</v>
      </c>
      <c r="I689" s="12" t="n">
        <v>24</v>
      </c>
      <c r="J689" s="12" t="s">
        <v>47</v>
      </c>
      <c r="K689" s="12" t="s">
        <v>48</v>
      </c>
      <c r="L689" s="12" t="str">
        <f aca="false">IF(OR(H689="Severe",H689="Life-Threatening"),"Yes","No")</f>
        <v>No</v>
      </c>
      <c r="M689" s="12" t="str">
        <f aca="false">IF(B689&lt;18,"0-17",IF(B689&lt;40,"18-39",IF(B689&lt;60,"40-59","60+")))</f>
        <v>60+</v>
      </c>
      <c r="N689" s="12" t="str">
        <f aca="false">IF(I689&lt;=1,"0-1 days",IF(I689&lt;=7,"2-7 days",IF(I689&lt;=30,"8-30 days","&gt;30 days")))</f>
        <v>8-30 days</v>
      </c>
    </row>
    <row r="690" customFormat="false" ht="15" hidden="false" customHeight="false" outlineLevel="0" collapsed="false">
      <c r="A690" s="12" t="s">
        <v>931</v>
      </c>
      <c r="B690" s="12" t="n">
        <v>49</v>
      </c>
      <c r="C690" s="12" t="s">
        <v>43</v>
      </c>
      <c r="D690" s="12" t="s">
        <v>102</v>
      </c>
      <c r="E690" s="12" t="s">
        <v>538</v>
      </c>
      <c r="F690" s="12" t="s">
        <v>45</v>
      </c>
      <c r="G690" s="12" t="s">
        <v>38</v>
      </c>
      <c r="H690" s="12" t="s">
        <v>59</v>
      </c>
      <c r="I690" s="12" t="n">
        <v>27</v>
      </c>
      <c r="J690" s="12" t="s">
        <v>40</v>
      </c>
      <c r="K690" s="12" t="s">
        <v>63</v>
      </c>
      <c r="L690" s="12" t="str">
        <f aca="false">IF(OR(H690="Severe",H690="Life-Threatening"),"Yes","No")</f>
        <v>Yes</v>
      </c>
      <c r="M690" s="12" t="str">
        <f aca="false">IF(B690&lt;18,"0-17",IF(B690&lt;40,"18-39",IF(B690&lt;60,"40-59","60+")))</f>
        <v>40-59</v>
      </c>
      <c r="N690" s="12" t="str">
        <f aca="false">IF(I690&lt;=1,"0-1 days",IF(I690&lt;=7,"2-7 days",IF(I690&lt;=30,"8-30 days","&gt;30 days")))</f>
        <v>8-30 days</v>
      </c>
    </row>
    <row r="691" customFormat="false" ht="15" hidden="false" customHeight="false" outlineLevel="0" collapsed="false">
      <c r="A691" s="12" t="s">
        <v>932</v>
      </c>
      <c r="B691" s="12" t="n">
        <v>2</v>
      </c>
      <c r="C691" s="12" t="s">
        <v>43</v>
      </c>
      <c r="D691" s="12" t="s">
        <v>196</v>
      </c>
      <c r="E691" s="12" t="s">
        <v>124</v>
      </c>
      <c r="F691" s="12" t="s">
        <v>214</v>
      </c>
      <c r="G691" s="12" t="s">
        <v>115</v>
      </c>
      <c r="H691" s="12" t="s">
        <v>39</v>
      </c>
      <c r="I691" s="12" t="n">
        <v>23</v>
      </c>
      <c r="J691" s="12" t="s">
        <v>47</v>
      </c>
      <c r="K691" s="12" t="s">
        <v>63</v>
      </c>
      <c r="L691" s="12" t="str">
        <f aca="false">IF(OR(H691="Severe",H691="Life-Threatening"),"Yes","No")</f>
        <v>No</v>
      </c>
      <c r="M691" s="12" t="str">
        <f aca="false">IF(B691&lt;18,"0-17",IF(B691&lt;40,"18-39",IF(B691&lt;60,"40-59","60+")))</f>
        <v>0-17</v>
      </c>
      <c r="N691" s="12" t="str">
        <f aca="false">IF(I691&lt;=1,"0-1 days",IF(I691&lt;=7,"2-7 days",IF(I691&lt;=30,"8-30 days","&gt;30 days")))</f>
        <v>8-30 days</v>
      </c>
    </row>
    <row r="692" customFormat="false" ht="15" hidden="false" customHeight="false" outlineLevel="0" collapsed="false">
      <c r="A692" s="12" t="s">
        <v>933</v>
      </c>
      <c r="B692" s="12" t="n">
        <v>55</v>
      </c>
      <c r="C692" s="12" t="s">
        <v>34</v>
      </c>
      <c r="D692" s="12" t="s">
        <v>91</v>
      </c>
      <c r="E692" s="12" t="s">
        <v>188</v>
      </c>
      <c r="F692" s="12" t="s">
        <v>79</v>
      </c>
      <c r="G692" s="12" t="s">
        <v>80</v>
      </c>
      <c r="H692" s="12" t="s">
        <v>76</v>
      </c>
      <c r="I692" s="12" t="n">
        <v>14</v>
      </c>
      <c r="J692" s="12" t="s">
        <v>47</v>
      </c>
      <c r="K692" s="12" t="s">
        <v>63</v>
      </c>
      <c r="L692" s="12" t="str">
        <f aca="false">IF(OR(H692="Severe",H692="Life-Threatening"),"Yes","No")</f>
        <v>Yes</v>
      </c>
      <c r="M692" s="12" t="str">
        <f aca="false">IF(B692&lt;18,"0-17",IF(B692&lt;40,"18-39",IF(B692&lt;60,"40-59","60+")))</f>
        <v>40-59</v>
      </c>
      <c r="N692" s="12" t="str">
        <f aca="false">IF(I692&lt;=1,"0-1 days",IF(I692&lt;=7,"2-7 days",IF(I692&lt;=30,"8-30 days","&gt;30 days")))</f>
        <v>8-30 days</v>
      </c>
    </row>
    <row r="693" customFormat="false" ht="15" hidden="false" customHeight="false" outlineLevel="0" collapsed="false">
      <c r="A693" s="12" t="s">
        <v>934</v>
      </c>
      <c r="B693" s="12" t="n">
        <v>40</v>
      </c>
      <c r="C693" s="12" t="s">
        <v>43</v>
      </c>
      <c r="D693" s="12" t="s">
        <v>55</v>
      </c>
      <c r="E693" s="12" t="s">
        <v>173</v>
      </c>
      <c r="F693" s="12" t="s">
        <v>131</v>
      </c>
      <c r="G693" s="12" t="s">
        <v>94</v>
      </c>
      <c r="H693" s="12" t="s">
        <v>39</v>
      </c>
      <c r="I693" s="12" t="n">
        <v>2</v>
      </c>
      <c r="J693" s="12" t="s">
        <v>169</v>
      </c>
      <c r="K693" s="12" t="s">
        <v>63</v>
      </c>
      <c r="L693" s="12" t="str">
        <f aca="false">IF(OR(H693="Severe",H693="Life-Threatening"),"Yes","No")</f>
        <v>No</v>
      </c>
      <c r="M693" s="12" t="str">
        <f aca="false">IF(B693&lt;18,"0-17",IF(B693&lt;40,"18-39",IF(B693&lt;60,"40-59","60+")))</f>
        <v>40-59</v>
      </c>
      <c r="N693" s="12" t="str">
        <f aca="false">IF(I693&lt;=1,"0-1 days",IF(I693&lt;=7,"2-7 days",IF(I693&lt;=30,"8-30 days","&gt;30 days")))</f>
        <v>2-7 days</v>
      </c>
    </row>
    <row r="694" customFormat="false" ht="15" hidden="false" customHeight="false" outlineLevel="0" collapsed="false">
      <c r="A694" s="12" t="s">
        <v>935</v>
      </c>
      <c r="B694" s="12" t="n">
        <v>59</v>
      </c>
      <c r="C694" s="12" t="s">
        <v>34</v>
      </c>
      <c r="D694" s="12" t="s">
        <v>117</v>
      </c>
      <c r="E694" s="12" t="s">
        <v>321</v>
      </c>
      <c r="F694" s="12" t="s">
        <v>322</v>
      </c>
      <c r="G694" s="12" t="s">
        <v>53</v>
      </c>
      <c r="H694" s="12" t="s">
        <v>59</v>
      </c>
      <c r="I694" s="12" t="n">
        <v>1</v>
      </c>
      <c r="J694" s="12" t="s">
        <v>67</v>
      </c>
      <c r="K694" s="12" t="s">
        <v>63</v>
      </c>
      <c r="L694" s="12" t="str">
        <f aca="false">IF(OR(H694="Severe",H694="Life-Threatening"),"Yes","No")</f>
        <v>Yes</v>
      </c>
      <c r="M694" s="12" t="str">
        <f aca="false">IF(B694&lt;18,"0-17",IF(B694&lt;40,"18-39",IF(B694&lt;60,"40-59","60+")))</f>
        <v>40-59</v>
      </c>
      <c r="N694" s="12" t="str">
        <f aca="false">IF(I694&lt;=1,"0-1 days",IF(I694&lt;=7,"2-7 days",IF(I694&lt;=30,"8-30 days","&gt;30 days")))</f>
        <v>0-1 days</v>
      </c>
    </row>
    <row r="695" customFormat="false" ht="15" hidden="false" customHeight="false" outlineLevel="0" collapsed="false">
      <c r="A695" s="12" t="s">
        <v>936</v>
      </c>
      <c r="B695" s="12" t="n">
        <v>24</v>
      </c>
      <c r="C695" s="12" t="s">
        <v>43</v>
      </c>
      <c r="D695" s="12" t="s">
        <v>155</v>
      </c>
      <c r="E695" s="12" t="s">
        <v>268</v>
      </c>
      <c r="F695" s="12" t="s">
        <v>269</v>
      </c>
      <c r="G695" s="12" t="s">
        <v>38</v>
      </c>
      <c r="H695" s="12" t="s">
        <v>76</v>
      </c>
      <c r="I695" s="12" t="n">
        <v>22</v>
      </c>
      <c r="J695" s="12" t="s">
        <v>47</v>
      </c>
      <c r="K695" s="12" t="s">
        <v>63</v>
      </c>
      <c r="L695" s="12" t="str">
        <f aca="false">IF(OR(H695="Severe",H695="Life-Threatening"),"Yes","No")</f>
        <v>Yes</v>
      </c>
      <c r="M695" s="12" t="str">
        <f aca="false">IF(B695&lt;18,"0-17",IF(B695&lt;40,"18-39",IF(B695&lt;60,"40-59","60+")))</f>
        <v>18-39</v>
      </c>
      <c r="N695" s="12" t="str">
        <f aca="false">IF(I695&lt;=1,"0-1 days",IF(I695&lt;=7,"2-7 days",IF(I695&lt;=30,"8-30 days","&gt;30 days")))</f>
        <v>8-30 days</v>
      </c>
    </row>
    <row r="696" customFormat="false" ht="15" hidden="false" customHeight="false" outlineLevel="0" collapsed="false">
      <c r="A696" s="12" t="s">
        <v>937</v>
      </c>
      <c r="B696" s="12" t="n">
        <v>52</v>
      </c>
      <c r="C696" s="12" t="s">
        <v>34</v>
      </c>
      <c r="D696" s="12" t="s">
        <v>117</v>
      </c>
      <c r="E696" s="12" t="s">
        <v>268</v>
      </c>
      <c r="F696" s="12" t="s">
        <v>274</v>
      </c>
      <c r="G696" s="12" t="s">
        <v>146</v>
      </c>
      <c r="H696" s="12" t="s">
        <v>76</v>
      </c>
      <c r="I696" s="12" t="n">
        <v>17</v>
      </c>
      <c r="J696" s="12" t="s">
        <v>169</v>
      </c>
      <c r="K696" s="12" t="s">
        <v>63</v>
      </c>
      <c r="L696" s="12" t="str">
        <f aca="false">IF(OR(H696="Severe",H696="Life-Threatening"),"Yes","No")</f>
        <v>Yes</v>
      </c>
      <c r="M696" s="12" t="str">
        <f aca="false">IF(B696&lt;18,"0-17",IF(B696&lt;40,"18-39",IF(B696&lt;60,"40-59","60+")))</f>
        <v>40-59</v>
      </c>
      <c r="N696" s="12" t="str">
        <f aca="false">IF(I696&lt;=1,"0-1 days",IF(I696&lt;=7,"2-7 days",IF(I696&lt;=30,"8-30 days","&gt;30 days")))</f>
        <v>8-30 days</v>
      </c>
    </row>
    <row r="697" customFormat="false" ht="15" hidden="false" customHeight="false" outlineLevel="0" collapsed="false">
      <c r="A697" s="12" t="s">
        <v>938</v>
      </c>
      <c r="B697" s="12" t="n">
        <v>39</v>
      </c>
      <c r="C697" s="12" t="s">
        <v>43</v>
      </c>
      <c r="D697" s="12" t="s">
        <v>55</v>
      </c>
      <c r="E697" s="12" t="s">
        <v>186</v>
      </c>
      <c r="F697" s="12" t="s">
        <v>131</v>
      </c>
      <c r="G697" s="12" t="s">
        <v>94</v>
      </c>
      <c r="H697" s="12" t="s">
        <v>76</v>
      </c>
      <c r="I697" s="12" t="n">
        <v>27</v>
      </c>
      <c r="J697" s="12" t="s">
        <v>47</v>
      </c>
      <c r="K697" s="12" t="s">
        <v>48</v>
      </c>
      <c r="L697" s="12" t="str">
        <f aca="false">IF(OR(H697="Severe",H697="Life-Threatening"),"Yes","No")</f>
        <v>Yes</v>
      </c>
      <c r="M697" s="12" t="str">
        <f aca="false">IF(B697&lt;18,"0-17",IF(B697&lt;40,"18-39",IF(B697&lt;60,"40-59","60+")))</f>
        <v>18-39</v>
      </c>
      <c r="N697" s="12" t="str">
        <f aca="false">IF(I697&lt;=1,"0-1 days",IF(I697&lt;=7,"2-7 days",IF(I697&lt;=30,"8-30 days","&gt;30 days")))</f>
        <v>8-30 days</v>
      </c>
    </row>
    <row r="698" customFormat="false" ht="15" hidden="false" customHeight="false" outlineLevel="0" collapsed="false">
      <c r="A698" s="12" t="s">
        <v>939</v>
      </c>
      <c r="B698" s="12" t="n">
        <v>39</v>
      </c>
      <c r="C698" s="12" t="s">
        <v>34</v>
      </c>
      <c r="D698" s="12" t="s">
        <v>123</v>
      </c>
      <c r="E698" s="12" t="s">
        <v>307</v>
      </c>
      <c r="F698" s="12" t="s">
        <v>249</v>
      </c>
      <c r="G698" s="12" t="s">
        <v>152</v>
      </c>
      <c r="H698" s="12" t="s">
        <v>39</v>
      </c>
      <c r="I698" s="12" t="n">
        <v>5</v>
      </c>
      <c r="J698" s="12" t="s">
        <v>40</v>
      </c>
      <c r="K698" s="12" t="s">
        <v>41</v>
      </c>
      <c r="L698" s="12" t="str">
        <f aca="false">IF(OR(H698="Severe",H698="Life-Threatening"),"Yes","No")</f>
        <v>No</v>
      </c>
      <c r="M698" s="12" t="str">
        <f aca="false">IF(B698&lt;18,"0-17",IF(B698&lt;40,"18-39",IF(B698&lt;60,"40-59","60+")))</f>
        <v>18-39</v>
      </c>
      <c r="N698" s="12" t="str">
        <f aca="false">IF(I698&lt;=1,"0-1 days",IF(I698&lt;=7,"2-7 days",IF(I698&lt;=30,"8-30 days","&gt;30 days")))</f>
        <v>2-7 days</v>
      </c>
    </row>
    <row r="699" customFormat="false" ht="15" hidden="false" customHeight="false" outlineLevel="0" collapsed="false">
      <c r="A699" s="12" t="s">
        <v>940</v>
      </c>
      <c r="B699" s="12" t="n">
        <v>16</v>
      </c>
      <c r="C699" s="12" t="s">
        <v>34</v>
      </c>
      <c r="D699" s="12" t="s">
        <v>55</v>
      </c>
      <c r="E699" s="12" t="s">
        <v>530</v>
      </c>
      <c r="F699" s="12" t="s">
        <v>531</v>
      </c>
      <c r="G699" s="12" t="s">
        <v>94</v>
      </c>
      <c r="H699" s="12" t="s">
        <v>39</v>
      </c>
      <c r="I699" s="12" t="n">
        <v>8</v>
      </c>
      <c r="J699" s="12" t="s">
        <v>40</v>
      </c>
      <c r="K699" s="12" t="s">
        <v>147</v>
      </c>
      <c r="L699" s="12" t="str">
        <f aca="false">IF(OR(H699="Severe",H699="Life-Threatening"),"Yes","No")</f>
        <v>No</v>
      </c>
      <c r="M699" s="12" t="str">
        <f aca="false">IF(B699&lt;18,"0-17",IF(B699&lt;40,"18-39",IF(B699&lt;60,"40-59","60+")))</f>
        <v>0-17</v>
      </c>
      <c r="N699" s="12" t="str">
        <f aca="false">IF(I699&lt;=1,"0-1 days",IF(I699&lt;=7,"2-7 days",IF(I699&lt;=30,"8-30 days","&gt;30 days")))</f>
        <v>8-30 days</v>
      </c>
    </row>
    <row r="700" customFormat="false" ht="15" hidden="false" customHeight="false" outlineLevel="0" collapsed="false">
      <c r="A700" s="12" t="s">
        <v>941</v>
      </c>
      <c r="B700" s="12" t="n">
        <v>64</v>
      </c>
      <c r="C700" s="12" t="s">
        <v>43</v>
      </c>
      <c r="D700" s="12" t="s">
        <v>55</v>
      </c>
      <c r="E700" s="12" t="s">
        <v>89</v>
      </c>
      <c r="F700" s="12" t="s">
        <v>37</v>
      </c>
      <c r="G700" s="12" t="s">
        <v>38</v>
      </c>
      <c r="H700" s="12" t="s">
        <v>39</v>
      </c>
      <c r="I700" s="12" t="n">
        <v>5</v>
      </c>
      <c r="J700" s="12" t="s">
        <v>40</v>
      </c>
      <c r="K700" s="12" t="s">
        <v>63</v>
      </c>
      <c r="L700" s="12" t="str">
        <f aca="false">IF(OR(H700="Severe",H700="Life-Threatening"),"Yes","No")</f>
        <v>No</v>
      </c>
      <c r="M700" s="12" t="str">
        <f aca="false">IF(B700&lt;18,"0-17",IF(B700&lt;40,"18-39",IF(B700&lt;60,"40-59","60+")))</f>
        <v>60+</v>
      </c>
      <c r="N700" s="12" t="str">
        <f aca="false">IF(I700&lt;=1,"0-1 days",IF(I700&lt;=7,"2-7 days",IF(I700&lt;=30,"8-30 days","&gt;30 days")))</f>
        <v>2-7 days</v>
      </c>
    </row>
    <row r="701" customFormat="false" ht="15" hidden="false" customHeight="false" outlineLevel="0" collapsed="false">
      <c r="A701" s="12" t="s">
        <v>942</v>
      </c>
      <c r="B701" s="12" t="n">
        <v>68</v>
      </c>
      <c r="C701" s="12" t="s">
        <v>34</v>
      </c>
      <c r="D701" s="12" t="s">
        <v>245</v>
      </c>
      <c r="E701" s="12" t="s">
        <v>495</v>
      </c>
      <c r="F701" s="12" t="s">
        <v>364</v>
      </c>
      <c r="G701" s="12" t="s">
        <v>38</v>
      </c>
      <c r="H701" s="12" t="s">
        <v>39</v>
      </c>
      <c r="I701" s="12" t="n">
        <v>26</v>
      </c>
      <c r="J701" s="12" t="s">
        <v>47</v>
      </c>
      <c r="K701" s="12" t="s">
        <v>63</v>
      </c>
      <c r="L701" s="12" t="str">
        <f aca="false">IF(OR(H701="Severe",H701="Life-Threatening"),"Yes","No")</f>
        <v>No</v>
      </c>
      <c r="M701" s="12" t="str">
        <f aca="false">IF(B701&lt;18,"0-17",IF(B701&lt;40,"18-39",IF(B701&lt;60,"40-59","60+")))</f>
        <v>60+</v>
      </c>
      <c r="N701" s="12" t="str">
        <f aca="false">IF(I701&lt;=1,"0-1 days",IF(I701&lt;=7,"2-7 days",IF(I701&lt;=30,"8-30 days","&gt;30 days")))</f>
        <v>8-30 days</v>
      </c>
    </row>
    <row r="702" customFormat="false" ht="15" hidden="false" customHeight="false" outlineLevel="0" collapsed="false">
      <c r="A702" s="12" t="s">
        <v>943</v>
      </c>
      <c r="B702" s="12" t="n">
        <v>52</v>
      </c>
      <c r="C702" s="12" t="s">
        <v>43</v>
      </c>
      <c r="D702" s="12" t="s">
        <v>82</v>
      </c>
      <c r="E702" s="12" t="s">
        <v>495</v>
      </c>
      <c r="F702" s="12" t="s">
        <v>403</v>
      </c>
      <c r="G702" s="12" t="s">
        <v>80</v>
      </c>
      <c r="H702" s="12" t="s">
        <v>76</v>
      </c>
      <c r="I702" s="12" t="n">
        <v>2</v>
      </c>
      <c r="J702" s="12" t="s">
        <v>40</v>
      </c>
      <c r="K702" s="12" t="s">
        <v>48</v>
      </c>
      <c r="L702" s="12" t="str">
        <f aca="false">IF(OR(H702="Severe",H702="Life-Threatening"),"Yes","No")</f>
        <v>Yes</v>
      </c>
      <c r="M702" s="12" t="str">
        <f aca="false">IF(B702&lt;18,"0-17",IF(B702&lt;40,"18-39",IF(B702&lt;60,"40-59","60+")))</f>
        <v>40-59</v>
      </c>
      <c r="N702" s="12" t="str">
        <f aca="false">IF(I702&lt;=1,"0-1 days",IF(I702&lt;=7,"2-7 days",IF(I702&lt;=30,"8-30 days","&gt;30 days")))</f>
        <v>2-7 days</v>
      </c>
    </row>
    <row r="703" customFormat="false" ht="15" hidden="false" customHeight="false" outlineLevel="0" collapsed="false">
      <c r="A703" s="12" t="s">
        <v>944</v>
      </c>
      <c r="B703" s="12" t="n">
        <v>52</v>
      </c>
      <c r="C703" s="12" t="s">
        <v>43</v>
      </c>
      <c r="D703" s="12" t="s">
        <v>82</v>
      </c>
      <c r="E703" s="12" t="s">
        <v>225</v>
      </c>
      <c r="F703" s="12" t="s">
        <v>235</v>
      </c>
      <c r="G703" s="12" t="s">
        <v>53</v>
      </c>
      <c r="H703" s="12" t="s">
        <v>46</v>
      </c>
      <c r="I703" s="12" t="n">
        <v>3</v>
      </c>
      <c r="J703" s="12" t="s">
        <v>40</v>
      </c>
      <c r="K703" s="12" t="s">
        <v>147</v>
      </c>
      <c r="L703" s="12" t="str">
        <f aca="false">IF(OR(H703="Severe",H703="Life-Threatening"),"Yes","No")</f>
        <v>No</v>
      </c>
      <c r="M703" s="12" t="str">
        <f aca="false">IF(B703&lt;18,"0-17",IF(B703&lt;40,"18-39",IF(B703&lt;60,"40-59","60+")))</f>
        <v>40-59</v>
      </c>
      <c r="N703" s="12" t="str">
        <f aca="false">IF(I703&lt;=1,"0-1 days",IF(I703&lt;=7,"2-7 days",IF(I703&lt;=30,"8-30 days","&gt;30 days")))</f>
        <v>2-7 days</v>
      </c>
    </row>
    <row r="704" customFormat="false" ht="15" hidden="false" customHeight="false" outlineLevel="0" collapsed="false">
      <c r="A704" s="12" t="s">
        <v>945</v>
      </c>
      <c r="B704" s="12" t="n">
        <v>58</v>
      </c>
      <c r="C704" s="12" t="s">
        <v>43</v>
      </c>
      <c r="D704" s="12" t="s">
        <v>55</v>
      </c>
      <c r="E704" s="12" t="s">
        <v>253</v>
      </c>
      <c r="F704" s="12" t="s">
        <v>135</v>
      </c>
      <c r="G704" s="12" t="s">
        <v>136</v>
      </c>
      <c r="H704" s="12" t="s">
        <v>46</v>
      </c>
      <c r="I704" s="12" t="n">
        <v>27</v>
      </c>
      <c r="J704" s="12" t="s">
        <v>169</v>
      </c>
      <c r="K704" s="12" t="s">
        <v>48</v>
      </c>
      <c r="L704" s="12" t="str">
        <f aca="false">IF(OR(H704="Severe",H704="Life-Threatening"),"Yes","No")</f>
        <v>No</v>
      </c>
      <c r="M704" s="12" t="str">
        <f aca="false">IF(B704&lt;18,"0-17",IF(B704&lt;40,"18-39",IF(B704&lt;60,"40-59","60+")))</f>
        <v>40-59</v>
      </c>
      <c r="N704" s="12" t="str">
        <f aca="false">IF(I704&lt;=1,"0-1 days",IF(I704&lt;=7,"2-7 days",IF(I704&lt;=30,"8-30 days","&gt;30 days")))</f>
        <v>8-30 days</v>
      </c>
    </row>
    <row r="705" customFormat="false" ht="15" hidden="false" customHeight="false" outlineLevel="0" collapsed="false">
      <c r="A705" s="12" t="s">
        <v>946</v>
      </c>
      <c r="B705" s="12" t="n">
        <v>62</v>
      </c>
      <c r="C705" s="12" t="s">
        <v>43</v>
      </c>
      <c r="D705" s="12" t="s">
        <v>144</v>
      </c>
      <c r="E705" s="12" t="s">
        <v>268</v>
      </c>
      <c r="F705" s="12" t="s">
        <v>274</v>
      </c>
      <c r="G705" s="12" t="s">
        <v>146</v>
      </c>
      <c r="H705" s="12" t="s">
        <v>39</v>
      </c>
      <c r="I705" s="12" t="n">
        <v>19</v>
      </c>
      <c r="J705" s="12" t="s">
        <v>169</v>
      </c>
      <c r="K705" s="12" t="s">
        <v>48</v>
      </c>
      <c r="L705" s="12" t="str">
        <f aca="false">IF(OR(H705="Severe",H705="Life-Threatening"),"Yes","No")</f>
        <v>No</v>
      </c>
      <c r="M705" s="12" t="str">
        <f aca="false">IF(B705&lt;18,"0-17",IF(B705&lt;40,"18-39",IF(B705&lt;60,"40-59","60+")))</f>
        <v>60+</v>
      </c>
      <c r="N705" s="12" t="str">
        <f aca="false">IF(I705&lt;=1,"0-1 days",IF(I705&lt;=7,"2-7 days",IF(I705&lt;=30,"8-30 days","&gt;30 days")))</f>
        <v>8-30 days</v>
      </c>
    </row>
    <row r="706" customFormat="false" ht="15" hidden="false" customHeight="false" outlineLevel="0" collapsed="false">
      <c r="A706" s="12" t="s">
        <v>947</v>
      </c>
      <c r="B706" s="12" t="n">
        <v>71</v>
      </c>
      <c r="C706" s="12" t="s">
        <v>43</v>
      </c>
      <c r="D706" s="12" t="s">
        <v>112</v>
      </c>
      <c r="E706" s="12" t="s">
        <v>206</v>
      </c>
      <c r="F706" s="12" t="s">
        <v>318</v>
      </c>
      <c r="G706" s="12" t="s">
        <v>80</v>
      </c>
      <c r="H706" s="12" t="s">
        <v>76</v>
      </c>
      <c r="I706" s="12" t="n">
        <v>1</v>
      </c>
      <c r="J706" s="12" t="s">
        <v>67</v>
      </c>
      <c r="K706" s="12" t="s">
        <v>41</v>
      </c>
      <c r="L706" s="12" t="str">
        <f aca="false">IF(OR(H706="Severe",H706="Life-Threatening"),"Yes","No")</f>
        <v>Yes</v>
      </c>
      <c r="M706" s="12" t="str">
        <f aca="false">IF(B706&lt;18,"0-17",IF(B706&lt;40,"18-39",IF(B706&lt;60,"40-59","60+")))</f>
        <v>60+</v>
      </c>
      <c r="N706" s="12" t="str">
        <f aca="false">IF(I706&lt;=1,"0-1 days",IF(I706&lt;=7,"2-7 days",IF(I706&lt;=30,"8-30 days","&gt;30 days")))</f>
        <v>0-1 days</v>
      </c>
    </row>
    <row r="707" customFormat="false" ht="15" hidden="false" customHeight="false" outlineLevel="0" collapsed="false">
      <c r="A707" s="12" t="s">
        <v>948</v>
      </c>
      <c r="B707" s="12" t="n">
        <v>74</v>
      </c>
      <c r="C707" s="12" t="s">
        <v>34</v>
      </c>
      <c r="D707" s="12" t="s">
        <v>211</v>
      </c>
      <c r="E707" s="12" t="s">
        <v>495</v>
      </c>
      <c r="F707" s="12" t="s">
        <v>364</v>
      </c>
      <c r="G707" s="12" t="s">
        <v>38</v>
      </c>
      <c r="H707" s="12" t="s">
        <v>76</v>
      </c>
      <c r="I707" s="12" t="n">
        <v>25</v>
      </c>
      <c r="J707" s="12" t="s">
        <v>47</v>
      </c>
      <c r="K707" s="12" t="s">
        <v>48</v>
      </c>
      <c r="L707" s="12" t="str">
        <f aca="false">IF(OR(H707="Severe",H707="Life-Threatening"),"Yes","No")</f>
        <v>Yes</v>
      </c>
      <c r="M707" s="12" t="str">
        <f aca="false">IF(B707&lt;18,"0-17",IF(B707&lt;40,"18-39",IF(B707&lt;60,"40-59","60+")))</f>
        <v>60+</v>
      </c>
      <c r="N707" s="12" t="str">
        <f aca="false">IF(I707&lt;=1,"0-1 days",IF(I707&lt;=7,"2-7 days",IF(I707&lt;=30,"8-30 days","&gt;30 days")))</f>
        <v>8-30 days</v>
      </c>
    </row>
    <row r="708" customFormat="false" ht="15" hidden="false" customHeight="false" outlineLevel="0" collapsed="false">
      <c r="A708" s="12" t="s">
        <v>949</v>
      </c>
      <c r="B708" s="12" t="n">
        <v>49</v>
      </c>
      <c r="C708" s="12" t="s">
        <v>34</v>
      </c>
      <c r="D708" s="12" t="s">
        <v>155</v>
      </c>
      <c r="E708" s="12" t="s">
        <v>272</v>
      </c>
      <c r="F708" s="12" t="s">
        <v>214</v>
      </c>
      <c r="G708" s="12" t="s">
        <v>115</v>
      </c>
      <c r="H708" s="12" t="s">
        <v>39</v>
      </c>
      <c r="I708" s="12" t="n">
        <v>15</v>
      </c>
      <c r="J708" s="12" t="s">
        <v>169</v>
      </c>
      <c r="K708" s="12" t="s">
        <v>63</v>
      </c>
      <c r="L708" s="12" t="str">
        <f aca="false">IF(OR(H708="Severe",H708="Life-Threatening"),"Yes","No")</f>
        <v>No</v>
      </c>
      <c r="M708" s="12" t="str">
        <f aca="false">IF(B708&lt;18,"0-17",IF(B708&lt;40,"18-39",IF(B708&lt;60,"40-59","60+")))</f>
        <v>40-59</v>
      </c>
      <c r="N708" s="12" t="str">
        <f aca="false">IF(I708&lt;=1,"0-1 days",IF(I708&lt;=7,"2-7 days",IF(I708&lt;=30,"8-30 days","&gt;30 days")))</f>
        <v>8-30 days</v>
      </c>
    </row>
    <row r="709" customFormat="false" ht="15" hidden="false" customHeight="false" outlineLevel="0" collapsed="false">
      <c r="A709" s="12" t="s">
        <v>950</v>
      </c>
      <c r="B709" s="12" t="n">
        <v>65</v>
      </c>
      <c r="C709" s="12" t="s">
        <v>43</v>
      </c>
      <c r="D709" s="12" t="s">
        <v>35</v>
      </c>
      <c r="E709" s="12" t="s">
        <v>204</v>
      </c>
      <c r="F709" s="12" t="s">
        <v>371</v>
      </c>
      <c r="G709" s="12" t="s">
        <v>72</v>
      </c>
      <c r="H709" s="12" t="s">
        <v>76</v>
      </c>
      <c r="I709" s="12" t="n">
        <v>37</v>
      </c>
      <c r="J709" s="12" t="s">
        <v>40</v>
      </c>
      <c r="K709" s="12" t="s">
        <v>63</v>
      </c>
      <c r="L709" s="12" t="str">
        <f aca="false">IF(OR(H709="Severe",H709="Life-Threatening"),"Yes","No")</f>
        <v>Yes</v>
      </c>
      <c r="M709" s="12" t="str">
        <f aca="false">IF(B709&lt;18,"0-17",IF(B709&lt;40,"18-39",IF(B709&lt;60,"40-59","60+")))</f>
        <v>60+</v>
      </c>
      <c r="N709" s="12" t="str">
        <f aca="false">IF(I709&lt;=1,"0-1 days",IF(I709&lt;=7,"2-7 days",IF(I709&lt;=30,"8-30 days","&gt;30 days")))</f>
        <v>&gt;30 days</v>
      </c>
    </row>
    <row r="710" customFormat="false" ht="15" hidden="false" customHeight="false" outlineLevel="0" collapsed="false">
      <c r="A710" s="12" t="s">
        <v>951</v>
      </c>
      <c r="B710" s="12" t="n">
        <v>59</v>
      </c>
      <c r="C710" s="12" t="s">
        <v>34</v>
      </c>
      <c r="D710" s="12" t="s">
        <v>99</v>
      </c>
      <c r="E710" s="12" t="s">
        <v>239</v>
      </c>
      <c r="F710" s="12" t="s">
        <v>62</v>
      </c>
      <c r="G710" s="12" t="s">
        <v>53</v>
      </c>
      <c r="H710" s="12" t="s">
        <v>46</v>
      </c>
      <c r="I710" s="12" t="n">
        <v>19</v>
      </c>
      <c r="J710" s="12" t="s">
        <v>40</v>
      </c>
      <c r="K710" s="12" t="s">
        <v>48</v>
      </c>
      <c r="L710" s="12" t="str">
        <f aca="false">IF(OR(H710="Severe",H710="Life-Threatening"),"Yes","No")</f>
        <v>No</v>
      </c>
      <c r="M710" s="12" t="str">
        <f aca="false">IF(B710&lt;18,"0-17",IF(B710&lt;40,"18-39",IF(B710&lt;60,"40-59","60+")))</f>
        <v>40-59</v>
      </c>
      <c r="N710" s="12" t="str">
        <f aca="false">IF(I710&lt;=1,"0-1 days",IF(I710&lt;=7,"2-7 days",IF(I710&lt;=30,"8-30 days","&gt;30 days")))</f>
        <v>8-30 days</v>
      </c>
    </row>
    <row r="711" customFormat="false" ht="15" hidden="false" customHeight="false" outlineLevel="0" collapsed="false">
      <c r="A711" s="12" t="s">
        <v>952</v>
      </c>
      <c r="B711" s="12" t="n">
        <v>31</v>
      </c>
      <c r="C711" s="12" t="s">
        <v>34</v>
      </c>
      <c r="D711" s="12" t="s">
        <v>126</v>
      </c>
      <c r="E711" s="12" t="s">
        <v>321</v>
      </c>
      <c r="F711" s="12" t="s">
        <v>142</v>
      </c>
      <c r="G711" s="12" t="s">
        <v>38</v>
      </c>
      <c r="H711" s="12" t="s">
        <v>46</v>
      </c>
      <c r="I711" s="12" t="n">
        <v>19</v>
      </c>
      <c r="J711" s="12" t="s">
        <v>40</v>
      </c>
      <c r="K711" s="12" t="s">
        <v>63</v>
      </c>
      <c r="L711" s="12" t="str">
        <f aca="false">IF(OR(H711="Severe",H711="Life-Threatening"),"Yes","No")</f>
        <v>No</v>
      </c>
      <c r="M711" s="12" t="str">
        <f aca="false">IF(B711&lt;18,"0-17",IF(B711&lt;40,"18-39",IF(B711&lt;60,"40-59","60+")))</f>
        <v>18-39</v>
      </c>
      <c r="N711" s="12" t="str">
        <f aca="false">IF(I711&lt;=1,"0-1 days",IF(I711&lt;=7,"2-7 days",IF(I711&lt;=30,"8-30 days","&gt;30 days")))</f>
        <v>8-30 days</v>
      </c>
    </row>
    <row r="712" customFormat="false" ht="15" hidden="false" customHeight="false" outlineLevel="0" collapsed="false">
      <c r="A712" s="12" t="s">
        <v>953</v>
      </c>
      <c r="B712" s="12" t="n">
        <v>67</v>
      </c>
      <c r="C712" s="12" t="s">
        <v>34</v>
      </c>
      <c r="D712" s="12" t="s">
        <v>35</v>
      </c>
      <c r="E712" s="12" t="s">
        <v>398</v>
      </c>
      <c r="F712" s="12" t="s">
        <v>37</v>
      </c>
      <c r="G712" s="12" t="s">
        <v>38</v>
      </c>
      <c r="H712" s="12" t="s">
        <v>46</v>
      </c>
      <c r="I712" s="12" t="n">
        <v>13</v>
      </c>
      <c r="J712" s="12" t="s">
        <v>40</v>
      </c>
      <c r="K712" s="12" t="s">
        <v>63</v>
      </c>
      <c r="L712" s="12" t="str">
        <f aca="false">IF(OR(H712="Severe",H712="Life-Threatening"),"Yes","No")</f>
        <v>No</v>
      </c>
      <c r="M712" s="12" t="str">
        <f aca="false">IF(B712&lt;18,"0-17",IF(B712&lt;40,"18-39",IF(B712&lt;60,"40-59","60+")))</f>
        <v>60+</v>
      </c>
      <c r="N712" s="12" t="str">
        <f aca="false">IF(I712&lt;=1,"0-1 days",IF(I712&lt;=7,"2-7 days",IF(I712&lt;=30,"8-30 days","&gt;30 days")))</f>
        <v>8-30 days</v>
      </c>
    </row>
    <row r="713" customFormat="false" ht="15" hidden="false" customHeight="false" outlineLevel="0" collapsed="false">
      <c r="A713" s="12" t="s">
        <v>954</v>
      </c>
      <c r="B713" s="12" t="n">
        <v>42</v>
      </c>
      <c r="C713" s="12" t="s">
        <v>43</v>
      </c>
      <c r="D713" s="12" t="s">
        <v>190</v>
      </c>
      <c r="E713" s="12" t="s">
        <v>183</v>
      </c>
      <c r="F713" s="12" t="s">
        <v>325</v>
      </c>
      <c r="G713" s="12" t="s">
        <v>177</v>
      </c>
      <c r="H713" s="12" t="s">
        <v>39</v>
      </c>
      <c r="I713" s="12" t="n">
        <v>30</v>
      </c>
      <c r="J713" s="12" t="s">
        <v>40</v>
      </c>
      <c r="K713" s="12" t="s">
        <v>63</v>
      </c>
      <c r="L713" s="12" t="str">
        <f aca="false">IF(OR(H713="Severe",H713="Life-Threatening"),"Yes","No")</f>
        <v>No</v>
      </c>
      <c r="M713" s="12" t="str">
        <f aca="false">IF(B713&lt;18,"0-17",IF(B713&lt;40,"18-39",IF(B713&lt;60,"40-59","60+")))</f>
        <v>40-59</v>
      </c>
      <c r="N713" s="12" t="str">
        <f aca="false">IF(I713&lt;=1,"0-1 days",IF(I713&lt;=7,"2-7 days",IF(I713&lt;=30,"8-30 days","&gt;30 days")))</f>
        <v>8-30 days</v>
      </c>
    </row>
    <row r="714" customFormat="false" ht="15" hidden="false" customHeight="false" outlineLevel="0" collapsed="false">
      <c r="A714" s="12" t="s">
        <v>955</v>
      </c>
      <c r="B714" s="12" t="n">
        <v>30</v>
      </c>
      <c r="C714" s="12" t="s">
        <v>43</v>
      </c>
      <c r="D714" s="12" t="s">
        <v>194</v>
      </c>
      <c r="E714" s="12" t="s">
        <v>301</v>
      </c>
      <c r="F714" s="12" t="s">
        <v>103</v>
      </c>
      <c r="G714" s="12" t="s">
        <v>104</v>
      </c>
      <c r="H714" s="12" t="s">
        <v>76</v>
      </c>
      <c r="I714" s="12" t="n">
        <v>15</v>
      </c>
      <c r="J714" s="12" t="s">
        <v>40</v>
      </c>
      <c r="K714" s="12" t="s">
        <v>48</v>
      </c>
      <c r="L714" s="12" t="str">
        <f aca="false">IF(OR(H714="Severe",H714="Life-Threatening"),"Yes","No")</f>
        <v>Yes</v>
      </c>
      <c r="M714" s="12" t="str">
        <f aca="false">IF(B714&lt;18,"0-17",IF(B714&lt;40,"18-39",IF(B714&lt;60,"40-59","60+")))</f>
        <v>18-39</v>
      </c>
      <c r="N714" s="12" t="str">
        <f aca="false">IF(I714&lt;=1,"0-1 days",IF(I714&lt;=7,"2-7 days",IF(I714&lt;=30,"8-30 days","&gt;30 days")))</f>
        <v>8-30 days</v>
      </c>
    </row>
    <row r="715" customFormat="false" ht="15" hidden="false" customHeight="false" outlineLevel="0" collapsed="false">
      <c r="A715" s="12" t="s">
        <v>956</v>
      </c>
      <c r="B715" s="12" t="n">
        <v>30</v>
      </c>
      <c r="C715" s="12" t="s">
        <v>34</v>
      </c>
      <c r="D715" s="12" t="s">
        <v>35</v>
      </c>
      <c r="E715" s="12" t="s">
        <v>130</v>
      </c>
      <c r="F715" s="12" t="s">
        <v>62</v>
      </c>
      <c r="G715" s="12" t="s">
        <v>53</v>
      </c>
      <c r="H715" s="12" t="s">
        <v>39</v>
      </c>
      <c r="I715" s="12" t="n">
        <v>16</v>
      </c>
      <c r="J715" s="12" t="s">
        <v>40</v>
      </c>
      <c r="K715" s="12" t="s">
        <v>48</v>
      </c>
      <c r="L715" s="12" t="str">
        <f aca="false">IF(OR(H715="Severe",H715="Life-Threatening"),"Yes","No")</f>
        <v>No</v>
      </c>
      <c r="M715" s="12" t="str">
        <f aca="false">IF(B715&lt;18,"0-17",IF(B715&lt;40,"18-39",IF(B715&lt;60,"40-59","60+")))</f>
        <v>18-39</v>
      </c>
      <c r="N715" s="12" t="str">
        <f aca="false">IF(I715&lt;=1,"0-1 days",IF(I715&lt;=7,"2-7 days",IF(I715&lt;=30,"8-30 days","&gt;30 days")))</f>
        <v>8-30 days</v>
      </c>
    </row>
    <row r="716" customFormat="false" ht="15" hidden="false" customHeight="false" outlineLevel="0" collapsed="false">
      <c r="A716" s="12" t="s">
        <v>957</v>
      </c>
      <c r="B716" s="12" t="n">
        <v>41</v>
      </c>
      <c r="C716" s="12" t="s">
        <v>34</v>
      </c>
      <c r="D716" s="12" t="s">
        <v>69</v>
      </c>
      <c r="E716" s="12" t="s">
        <v>181</v>
      </c>
      <c r="F716" s="12" t="s">
        <v>506</v>
      </c>
      <c r="G716" s="12" t="s">
        <v>94</v>
      </c>
      <c r="H716" s="12" t="s">
        <v>46</v>
      </c>
      <c r="I716" s="12" t="n">
        <v>4</v>
      </c>
      <c r="J716" s="12" t="s">
        <v>40</v>
      </c>
      <c r="K716" s="12" t="s">
        <v>63</v>
      </c>
      <c r="L716" s="12" t="str">
        <f aca="false">IF(OR(H716="Severe",H716="Life-Threatening"),"Yes","No")</f>
        <v>No</v>
      </c>
      <c r="M716" s="12" t="str">
        <f aca="false">IF(B716&lt;18,"0-17",IF(B716&lt;40,"18-39",IF(B716&lt;60,"40-59","60+")))</f>
        <v>40-59</v>
      </c>
      <c r="N716" s="12" t="str">
        <f aca="false">IF(I716&lt;=1,"0-1 days",IF(I716&lt;=7,"2-7 days",IF(I716&lt;=30,"8-30 days","&gt;30 days")))</f>
        <v>2-7 days</v>
      </c>
    </row>
    <row r="717" customFormat="false" ht="15" hidden="false" customHeight="false" outlineLevel="0" collapsed="false">
      <c r="A717" s="12" t="s">
        <v>958</v>
      </c>
      <c r="B717" s="12" t="n">
        <v>11</v>
      </c>
      <c r="C717" s="12" t="s">
        <v>43</v>
      </c>
      <c r="D717" s="12" t="s">
        <v>85</v>
      </c>
      <c r="E717" s="12" t="s">
        <v>86</v>
      </c>
      <c r="F717" s="12" t="s">
        <v>103</v>
      </c>
      <c r="G717" s="12" t="s">
        <v>104</v>
      </c>
      <c r="H717" s="12" t="s">
        <v>39</v>
      </c>
      <c r="I717" s="12" t="n">
        <v>26</v>
      </c>
      <c r="J717" s="12" t="s">
        <v>40</v>
      </c>
      <c r="K717" s="12" t="s">
        <v>48</v>
      </c>
      <c r="L717" s="12" t="str">
        <f aca="false">IF(OR(H717="Severe",H717="Life-Threatening"),"Yes","No")</f>
        <v>No</v>
      </c>
      <c r="M717" s="12" t="str">
        <f aca="false">IF(B717&lt;18,"0-17",IF(B717&lt;40,"18-39",IF(B717&lt;60,"40-59","60+")))</f>
        <v>0-17</v>
      </c>
      <c r="N717" s="12" t="str">
        <f aca="false">IF(I717&lt;=1,"0-1 days",IF(I717&lt;=7,"2-7 days",IF(I717&lt;=30,"8-30 days","&gt;30 days")))</f>
        <v>8-30 days</v>
      </c>
    </row>
    <row r="718" customFormat="false" ht="15" hidden="false" customHeight="false" outlineLevel="0" collapsed="false">
      <c r="A718" s="12" t="s">
        <v>959</v>
      </c>
      <c r="B718" s="12" t="n">
        <v>85</v>
      </c>
      <c r="C718" s="12" t="s">
        <v>34</v>
      </c>
      <c r="D718" s="12" t="s">
        <v>190</v>
      </c>
      <c r="E718" s="12" t="s">
        <v>241</v>
      </c>
      <c r="F718" s="12" t="s">
        <v>135</v>
      </c>
      <c r="G718" s="12" t="s">
        <v>136</v>
      </c>
      <c r="H718" s="12" t="s">
        <v>39</v>
      </c>
      <c r="I718" s="12" t="n">
        <v>24</v>
      </c>
      <c r="J718" s="12" t="s">
        <v>169</v>
      </c>
      <c r="K718" s="12" t="s">
        <v>48</v>
      </c>
      <c r="L718" s="12" t="str">
        <f aca="false">IF(OR(H718="Severe",H718="Life-Threatening"),"Yes","No")</f>
        <v>No</v>
      </c>
      <c r="M718" s="12" t="str">
        <f aca="false">IF(B718&lt;18,"0-17",IF(B718&lt;40,"18-39",IF(B718&lt;60,"40-59","60+")))</f>
        <v>60+</v>
      </c>
      <c r="N718" s="12" t="str">
        <f aca="false">IF(I718&lt;=1,"0-1 days",IF(I718&lt;=7,"2-7 days",IF(I718&lt;=30,"8-30 days","&gt;30 days")))</f>
        <v>8-30 days</v>
      </c>
    </row>
    <row r="719" customFormat="false" ht="15" hidden="false" customHeight="false" outlineLevel="0" collapsed="false">
      <c r="A719" s="12" t="s">
        <v>960</v>
      </c>
      <c r="B719" s="12" t="n">
        <v>75</v>
      </c>
      <c r="C719" s="12" t="s">
        <v>43</v>
      </c>
      <c r="D719" s="12" t="s">
        <v>155</v>
      </c>
      <c r="E719" s="12" t="s">
        <v>304</v>
      </c>
      <c r="F719" s="12" t="s">
        <v>305</v>
      </c>
      <c r="G719" s="12" t="s">
        <v>177</v>
      </c>
      <c r="H719" s="12" t="s">
        <v>39</v>
      </c>
      <c r="I719" s="12" t="n">
        <v>23</v>
      </c>
      <c r="J719" s="12" t="s">
        <v>40</v>
      </c>
      <c r="K719" s="12" t="s">
        <v>48</v>
      </c>
      <c r="L719" s="12" t="str">
        <f aca="false">IF(OR(H719="Severe",H719="Life-Threatening"),"Yes","No")</f>
        <v>No</v>
      </c>
      <c r="M719" s="12" t="str">
        <f aca="false">IF(B719&lt;18,"0-17",IF(B719&lt;40,"18-39",IF(B719&lt;60,"40-59","60+")))</f>
        <v>60+</v>
      </c>
      <c r="N719" s="12" t="str">
        <f aca="false">IF(I719&lt;=1,"0-1 days",IF(I719&lt;=7,"2-7 days",IF(I719&lt;=30,"8-30 days","&gt;30 days")))</f>
        <v>8-30 days</v>
      </c>
    </row>
    <row r="720" customFormat="false" ht="15" hidden="false" customHeight="false" outlineLevel="0" collapsed="false">
      <c r="A720" s="12" t="s">
        <v>961</v>
      </c>
      <c r="B720" s="12" t="n">
        <v>44</v>
      </c>
      <c r="C720" s="12" t="s">
        <v>34</v>
      </c>
      <c r="D720" s="12" t="s">
        <v>581</v>
      </c>
      <c r="E720" s="12" t="s">
        <v>181</v>
      </c>
      <c r="F720" s="12" t="s">
        <v>506</v>
      </c>
      <c r="G720" s="12" t="s">
        <v>94</v>
      </c>
      <c r="H720" s="12" t="s">
        <v>39</v>
      </c>
      <c r="I720" s="12" t="n">
        <v>10</v>
      </c>
      <c r="J720" s="12" t="s">
        <v>67</v>
      </c>
      <c r="K720" s="12" t="s">
        <v>48</v>
      </c>
      <c r="L720" s="12" t="str">
        <f aca="false">IF(OR(H720="Severe",H720="Life-Threatening"),"Yes","No")</f>
        <v>No</v>
      </c>
      <c r="M720" s="12" t="str">
        <f aca="false">IF(B720&lt;18,"0-17",IF(B720&lt;40,"18-39",IF(B720&lt;60,"40-59","60+")))</f>
        <v>40-59</v>
      </c>
      <c r="N720" s="12" t="str">
        <f aca="false">IF(I720&lt;=1,"0-1 days",IF(I720&lt;=7,"2-7 days",IF(I720&lt;=30,"8-30 days","&gt;30 days")))</f>
        <v>8-30 days</v>
      </c>
    </row>
    <row r="721" customFormat="false" ht="15" hidden="false" customHeight="false" outlineLevel="0" collapsed="false">
      <c r="A721" s="12" t="s">
        <v>962</v>
      </c>
      <c r="B721" s="12" t="n">
        <v>42</v>
      </c>
      <c r="C721" s="12" t="s">
        <v>34</v>
      </c>
      <c r="D721" s="12" t="s">
        <v>112</v>
      </c>
      <c r="E721" s="12" t="s">
        <v>227</v>
      </c>
      <c r="F721" s="12" t="s">
        <v>214</v>
      </c>
      <c r="G721" s="12" t="s">
        <v>115</v>
      </c>
      <c r="H721" s="12" t="s">
        <v>46</v>
      </c>
      <c r="I721" s="12" t="n">
        <v>10</v>
      </c>
      <c r="J721" s="12" t="s">
        <v>40</v>
      </c>
      <c r="K721" s="12" t="s">
        <v>63</v>
      </c>
      <c r="L721" s="12" t="str">
        <f aca="false">IF(OR(H721="Severe",H721="Life-Threatening"),"Yes","No")</f>
        <v>No</v>
      </c>
      <c r="M721" s="12" t="str">
        <f aca="false">IF(B721&lt;18,"0-17",IF(B721&lt;40,"18-39",IF(B721&lt;60,"40-59","60+")))</f>
        <v>40-59</v>
      </c>
      <c r="N721" s="12" t="str">
        <f aca="false">IF(I721&lt;=1,"0-1 days",IF(I721&lt;=7,"2-7 days",IF(I721&lt;=30,"8-30 days","&gt;30 days")))</f>
        <v>8-30 days</v>
      </c>
    </row>
    <row r="722" customFormat="false" ht="15" hidden="false" customHeight="false" outlineLevel="0" collapsed="false">
      <c r="A722" s="12" t="s">
        <v>963</v>
      </c>
      <c r="B722" s="12" t="n">
        <v>11</v>
      </c>
      <c r="C722" s="12" t="s">
        <v>43</v>
      </c>
      <c r="D722" s="12" t="s">
        <v>99</v>
      </c>
      <c r="E722" s="12" t="s">
        <v>74</v>
      </c>
      <c r="F722" s="12" t="s">
        <v>75</v>
      </c>
      <c r="G722" s="12" t="s">
        <v>58</v>
      </c>
      <c r="H722" s="12" t="s">
        <v>59</v>
      </c>
      <c r="I722" s="12" t="n">
        <v>1</v>
      </c>
      <c r="J722" s="12" t="s">
        <v>47</v>
      </c>
      <c r="K722" s="12" t="s">
        <v>48</v>
      </c>
      <c r="L722" s="12" t="str">
        <f aca="false">IF(OR(H722="Severe",H722="Life-Threatening"),"Yes","No")</f>
        <v>Yes</v>
      </c>
      <c r="M722" s="12" t="str">
        <f aca="false">IF(B722&lt;18,"0-17",IF(B722&lt;40,"18-39",IF(B722&lt;60,"40-59","60+")))</f>
        <v>0-17</v>
      </c>
      <c r="N722" s="12" t="str">
        <f aca="false">IF(I722&lt;=1,"0-1 days",IF(I722&lt;=7,"2-7 days",IF(I722&lt;=30,"8-30 days","&gt;30 days")))</f>
        <v>0-1 days</v>
      </c>
    </row>
    <row r="723" customFormat="false" ht="15" hidden="false" customHeight="false" outlineLevel="0" collapsed="false">
      <c r="A723" s="12" t="s">
        <v>964</v>
      </c>
      <c r="B723" s="12" t="n">
        <v>35</v>
      </c>
      <c r="C723" s="12" t="s">
        <v>34</v>
      </c>
      <c r="D723" s="12" t="s">
        <v>117</v>
      </c>
      <c r="E723" s="12" t="s">
        <v>181</v>
      </c>
      <c r="F723" s="12" t="s">
        <v>506</v>
      </c>
      <c r="G723" s="12" t="s">
        <v>94</v>
      </c>
      <c r="H723" s="12" t="s">
        <v>39</v>
      </c>
      <c r="I723" s="12" t="n">
        <v>19</v>
      </c>
      <c r="J723" s="12" t="s">
        <v>40</v>
      </c>
      <c r="K723" s="12" t="s">
        <v>48</v>
      </c>
      <c r="L723" s="12" t="str">
        <f aca="false">IF(OR(H723="Severe",H723="Life-Threatening"),"Yes","No")</f>
        <v>No</v>
      </c>
      <c r="M723" s="12" t="str">
        <f aca="false">IF(B723&lt;18,"0-17",IF(B723&lt;40,"18-39",IF(B723&lt;60,"40-59","60+")))</f>
        <v>18-39</v>
      </c>
      <c r="N723" s="12" t="str">
        <f aca="false">IF(I723&lt;=1,"0-1 days",IF(I723&lt;=7,"2-7 days",IF(I723&lt;=30,"8-30 days","&gt;30 days")))</f>
        <v>8-30 days</v>
      </c>
    </row>
    <row r="724" customFormat="false" ht="15" hidden="false" customHeight="false" outlineLevel="0" collapsed="false">
      <c r="A724" s="12" t="s">
        <v>965</v>
      </c>
      <c r="B724" s="12" t="n">
        <v>52</v>
      </c>
      <c r="C724" s="12" t="s">
        <v>43</v>
      </c>
      <c r="D724" s="12" t="s">
        <v>190</v>
      </c>
      <c r="E724" s="12" t="s">
        <v>225</v>
      </c>
      <c r="F724" s="12" t="s">
        <v>235</v>
      </c>
      <c r="G724" s="12" t="s">
        <v>53</v>
      </c>
      <c r="H724" s="12" t="s">
        <v>39</v>
      </c>
      <c r="I724" s="12" t="n">
        <v>6</v>
      </c>
      <c r="J724" s="12" t="s">
        <v>47</v>
      </c>
      <c r="K724" s="12" t="s">
        <v>48</v>
      </c>
      <c r="L724" s="12" t="str">
        <f aca="false">IF(OR(H724="Severe",H724="Life-Threatening"),"Yes","No")</f>
        <v>No</v>
      </c>
      <c r="M724" s="12" t="str">
        <f aca="false">IF(B724&lt;18,"0-17",IF(B724&lt;40,"18-39",IF(B724&lt;60,"40-59","60+")))</f>
        <v>40-59</v>
      </c>
      <c r="N724" s="12" t="str">
        <f aca="false">IF(I724&lt;=1,"0-1 days",IF(I724&lt;=7,"2-7 days",IF(I724&lt;=30,"8-30 days","&gt;30 days")))</f>
        <v>2-7 days</v>
      </c>
    </row>
    <row r="725" customFormat="false" ht="15" hidden="false" customHeight="false" outlineLevel="0" collapsed="false">
      <c r="A725" s="12" t="s">
        <v>966</v>
      </c>
      <c r="B725" s="12" t="n">
        <v>26</v>
      </c>
      <c r="C725" s="12" t="s">
        <v>34</v>
      </c>
      <c r="D725" s="12" t="s">
        <v>99</v>
      </c>
      <c r="E725" s="12" t="s">
        <v>261</v>
      </c>
      <c r="F725" s="12" t="s">
        <v>221</v>
      </c>
      <c r="G725" s="12" t="s">
        <v>94</v>
      </c>
      <c r="H725" s="12" t="s">
        <v>59</v>
      </c>
      <c r="I725" s="12" t="n">
        <v>1</v>
      </c>
      <c r="J725" s="12" t="s">
        <v>105</v>
      </c>
      <c r="K725" s="12" t="s">
        <v>63</v>
      </c>
      <c r="L725" s="12" t="str">
        <f aca="false">IF(OR(H725="Severe",H725="Life-Threatening"),"Yes","No")</f>
        <v>Yes</v>
      </c>
      <c r="M725" s="12" t="str">
        <f aca="false">IF(B725&lt;18,"0-17",IF(B725&lt;40,"18-39",IF(B725&lt;60,"40-59","60+")))</f>
        <v>18-39</v>
      </c>
      <c r="N725" s="12" t="str">
        <f aca="false">IF(I725&lt;=1,"0-1 days",IF(I725&lt;=7,"2-7 days",IF(I725&lt;=30,"8-30 days","&gt;30 days")))</f>
        <v>0-1 days</v>
      </c>
    </row>
    <row r="726" customFormat="false" ht="15" hidden="false" customHeight="false" outlineLevel="0" collapsed="false">
      <c r="A726" s="12" t="s">
        <v>967</v>
      </c>
      <c r="B726" s="12" t="n">
        <v>29</v>
      </c>
      <c r="C726" s="12" t="s">
        <v>43</v>
      </c>
      <c r="D726" s="12" t="s">
        <v>581</v>
      </c>
      <c r="E726" s="12" t="s">
        <v>313</v>
      </c>
      <c r="F726" s="12" t="s">
        <v>62</v>
      </c>
      <c r="G726" s="12" t="s">
        <v>53</v>
      </c>
      <c r="H726" s="12" t="s">
        <v>76</v>
      </c>
      <c r="I726" s="12" t="n">
        <v>30</v>
      </c>
      <c r="J726" s="12" t="s">
        <v>67</v>
      </c>
      <c r="K726" s="12" t="s">
        <v>63</v>
      </c>
      <c r="L726" s="12" t="str">
        <f aca="false">IF(OR(H726="Severe",H726="Life-Threatening"),"Yes","No")</f>
        <v>Yes</v>
      </c>
      <c r="M726" s="12" t="str">
        <f aca="false">IF(B726&lt;18,"0-17",IF(B726&lt;40,"18-39",IF(B726&lt;60,"40-59","60+")))</f>
        <v>18-39</v>
      </c>
      <c r="N726" s="12" t="str">
        <f aca="false">IF(I726&lt;=1,"0-1 days",IF(I726&lt;=7,"2-7 days",IF(I726&lt;=30,"8-30 days","&gt;30 days")))</f>
        <v>8-30 days</v>
      </c>
    </row>
    <row r="727" customFormat="false" ht="15" hidden="false" customHeight="false" outlineLevel="0" collapsed="false">
      <c r="A727" s="12" t="s">
        <v>968</v>
      </c>
      <c r="B727" s="12" t="n">
        <v>31</v>
      </c>
      <c r="C727" s="12" t="s">
        <v>43</v>
      </c>
      <c r="D727" s="12" t="s">
        <v>120</v>
      </c>
      <c r="E727" s="12" t="s">
        <v>261</v>
      </c>
      <c r="F727" s="12" t="s">
        <v>221</v>
      </c>
      <c r="G727" s="12" t="s">
        <v>94</v>
      </c>
      <c r="H727" s="12" t="s">
        <v>76</v>
      </c>
      <c r="I727" s="12" t="n">
        <v>0</v>
      </c>
      <c r="J727" s="12" t="s">
        <v>47</v>
      </c>
      <c r="K727" s="12" t="s">
        <v>147</v>
      </c>
      <c r="L727" s="12" t="str">
        <f aca="false">IF(OR(H727="Severe",H727="Life-Threatening"),"Yes","No")</f>
        <v>Yes</v>
      </c>
      <c r="M727" s="12" t="str">
        <f aca="false">IF(B727&lt;18,"0-17",IF(B727&lt;40,"18-39",IF(B727&lt;60,"40-59","60+")))</f>
        <v>18-39</v>
      </c>
      <c r="N727" s="12" t="str">
        <f aca="false">IF(I727&lt;=1,"0-1 days",IF(I727&lt;=7,"2-7 days",IF(I727&lt;=30,"8-30 days","&gt;30 days")))</f>
        <v>0-1 days</v>
      </c>
    </row>
    <row r="728" customFormat="false" ht="15" hidden="false" customHeight="false" outlineLevel="0" collapsed="false">
      <c r="A728" s="12" t="s">
        <v>969</v>
      </c>
      <c r="B728" s="12" t="n">
        <v>57</v>
      </c>
      <c r="C728" s="12" t="s">
        <v>34</v>
      </c>
      <c r="D728" s="12" t="s">
        <v>155</v>
      </c>
      <c r="E728" s="12" t="s">
        <v>530</v>
      </c>
      <c r="F728" s="12" t="s">
        <v>531</v>
      </c>
      <c r="G728" s="12" t="s">
        <v>94</v>
      </c>
      <c r="H728" s="12" t="s">
        <v>46</v>
      </c>
      <c r="I728" s="12" t="n">
        <v>9</v>
      </c>
      <c r="J728" s="12" t="s">
        <v>40</v>
      </c>
      <c r="K728" s="12" t="s">
        <v>63</v>
      </c>
      <c r="L728" s="12" t="str">
        <f aca="false">IF(OR(H728="Severe",H728="Life-Threatening"),"Yes","No")</f>
        <v>No</v>
      </c>
      <c r="M728" s="12" t="str">
        <f aca="false">IF(B728&lt;18,"0-17",IF(B728&lt;40,"18-39",IF(B728&lt;60,"40-59","60+")))</f>
        <v>40-59</v>
      </c>
      <c r="N728" s="12" t="str">
        <f aca="false">IF(I728&lt;=1,"0-1 days",IF(I728&lt;=7,"2-7 days",IF(I728&lt;=30,"8-30 days","&gt;30 days")))</f>
        <v>8-30 days</v>
      </c>
    </row>
    <row r="729" customFormat="false" ht="15" hidden="false" customHeight="false" outlineLevel="0" collapsed="false">
      <c r="A729" s="12" t="s">
        <v>970</v>
      </c>
      <c r="B729" s="12" t="n">
        <v>48</v>
      </c>
      <c r="C729" s="12" t="s">
        <v>43</v>
      </c>
      <c r="D729" s="12" t="s">
        <v>102</v>
      </c>
      <c r="E729" s="12" t="s">
        <v>301</v>
      </c>
      <c r="F729" s="12" t="s">
        <v>103</v>
      </c>
      <c r="G729" s="12" t="s">
        <v>104</v>
      </c>
      <c r="H729" s="12" t="s">
        <v>76</v>
      </c>
      <c r="I729" s="12" t="n">
        <v>34</v>
      </c>
      <c r="J729" s="12" t="s">
        <v>67</v>
      </c>
      <c r="K729" s="12" t="s">
        <v>48</v>
      </c>
      <c r="L729" s="12" t="str">
        <f aca="false">IF(OR(H729="Severe",H729="Life-Threatening"),"Yes","No")</f>
        <v>Yes</v>
      </c>
      <c r="M729" s="12" t="str">
        <f aca="false">IF(B729&lt;18,"0-17",IF(B729&lt;40,"18-39",IF(B729&lt;60,"40-59","60+")))</f>
        <v>40-59</v>
      </c>
      <c r="N729" s="12" t="str">
        <f aca="false">IF(I729&lt;=1,"0-1 days",IF(I729&lt;=7,"2-7 days",IF(I729&lt;=30,"8-30 days","&gt;30 days")))</f>
        <v>&gt;30 days</v>
      </c>
    </row>
    <row r="730" customFormat="false" ht="15" hidden="false" customHeight="false" outlineLevel="0" collapsed="false">
      <c r="A730" s="12" t="s">
        <v>971</v>
      </c>
      <c r="B730" s="12" t="n">
        <v>41</v>
      </c>
      <c r="C730" s="12" t="s">
        <v>43</v>
      </c>
      <c r="D730" s="12" t="s">
        <v>99</v>
      </c>
      <c r="E730" s="12" t="s">
        <v>118</v>
      </c>
      <c r="F730" s="12" t="s">
        <v>192</v>
      </c>
      <c r="G730" s="12" t="s">
        <v>53</v>
      </c>
      <c r="H730" s="12" t="s">
        <v>39</v>
      </c>
      <c r="I730" s="12" t="n">
        <v>13</v>
      </c>
      <c r="J730" s="12" t="s">
        <v>40</v>
      </c>
      <c r="K730" s="12" t="s">
        <v>48</v>
      </c>
      <c r="L730" s="12" t="str">
        <f aca="false">IF(OR(H730="Severe",H730="Life-Threatening"),"Yes","No")</f>
        <v>No</v>
      </c>
      <c r="M730" s="12" t="str">
        <f aca="false">IF(B730&lt;18,"0-17",IF(B730&lt;40,"18-39",IF(B730&lt;60,"40-59","60+")))</f>
        <v>40-59</v>
      </c>
      <c r="N730" s="12" t="str">
        <f aca="false">IF(I730&lt;=1,"0-1 days",IF(I730&lt;=7,"2-7 days",IF(I730&lt;=30,"8-30 days","&gt;30 days")))</f>
        <v>8-30 days</v>
      </c>
    </row>
    <row r="731" customFormat="false" ht="15" hidden="false" customHeight="false" outlineLevel="0" collapsed="false">
      <c r="A731" s="12" t="s">
        <v>972</v>
      </c>
      <c r="B731" s="12" t="n">
        <v>60</v>
      </c>
      <c r="C731" s="12" t="s">
        <v>43</v>
      </c>
      <c r="D731" s="12" t="s">
        <v>668</v>
      </c>
      <c r="E731" s="12" t="s">
        <v>268</v>
      </c>
      <c r="F731" s="12" t="s">
        <v>269</v>
      </c>
      <c r="G731" s="12" t="s">
        <v>38</v>
      </c>
      <c r="H731" s="12" t="s">
        <v>46</v>
      </c>
      <c r="I731" s="12" t="n">
        <v>22</v>
      </c>
      <c r="J731" s="12" t="s">
        <v>40</v>
      </c>
      <c r="K731" s="12" t="s">
        <v>63</v>
      </c>
      <c r="L731" s="12" t="str">
        <f aca="false">IF(OR(H731="Severe",H731="Life-Threatening"),"Yes","No")</f>
        <v>No</v>
      </c>
      <c r="M731" s="12" t="str">
        <f aca="false">IF(B731&lt;18,"0-17",IF(B731&lt;40,"18-39",IF(B731&lt;60,"40-59","60+")))</f>
        <v>60+</v>
      </c>
      <c r="N731" s="12" t="str">
        <f aca="false">IF(I731&lt;=1,"0-1 days",IF(I731&lt;=7,"2-7 days",IF(I731&lt;=30,"8-30 days","&gt;30 days")))</f>
        <v>8-30 days</v>
      </c>
    </row>
    <row r="732" customFormat="false" ht="15" hidden="false" customHeight="false" outlineLevel="0" collapsed="false">
      <c r="A732" s="12" t="s">
        <v>973</v>
      </c>
      <c r="B732" s="12" t="n">
        <v>46</v>
      </c>
      <c r="C732" s="12" t="s">
        <v>43</v>
      </c>
      <c r="D732" s="12" t="s">
        <v>69</v>
      </c>
      <c r="E732" s="12" t="s">
        <v>239</v>
      </c>
      <c r="F732" s="12" t="s">
        <v>249</v>
      </c>
      <c r="G732" s="12" t="s">
        <v>152</v>
      </c>
      <c r="H732" s="12" t="s">
        <v>46</v>
      </c>
      <c r="I732" s="12" t="n">
        <v>20</v>
      </c>
      <c r="J732" s="12" t="s">
        <v>40</v>
      </c>
      <c r="K732" s="12" t="s">
        <v>48</v>
      </c>
      <c r="L732" s="12" t="str">
        <f aca="false">IF(OR(H732="Severe",H732="Life-Threatening"),"Yes","No")</f>
        <v>No</v>
      </c>
      <c r="M732" s="12" t="str">
        <f aca="false">IF(B732&lt;18,"0-17",IF(B732&lt;40,"18-39",IF(B732&lt;60,"40-59","60+")))</f>
        <v>40-59</v>
      </c>
      <c r="N732" s="12" t="str">
        <f aca="false">IF(I732&lt;=1,"0-1 days",IF(I732&lt;=7,"2-7 days",IF(I732&lt;=30,"8-30 days","&gt;30 days")))</f>
        <v>8-30 days</v>
      </c>
    </row>
    <row r="733" customFormat="false" ht="15" hidden="false" customHeight="false" outlineLevel="0" collapsed="false">
      <c r="A733" s="12" t="s">
        <v>974</v>
      </c>
      <c r="B733" s="12" t="n">
        <v>21</v>
      </c>
      <c r="C733" s="12" t="s">
        <v>34</v>
      </c>
      <c r="D733" s="12" t="s">
        <v>196</v>
      </c>
      <c r="E733" s="12" t="s">
        <v>74</v>
      </c>
      <c r="F733" s="12" t="s">
        <v>139</v>
      </c>
      <c r="G733" s="12" t="s">
        <v>38</v>
      </c>
      <c r="H733" s="12" t="s">
        <v>76</v>
      </c>
      <c r="I733" s="12" t="n">
        <v>10</v>
      </c>
      <c r="J733" s="12" t="s">
        <v>40</v>
      </c>
      <c r="K733" s="12" t="s">
        <v>48</v>
      </c>
      <c r="L733" s="12" t="str">
        <f aca="false">IF(OR(H733="Severe",H733="Life-Threatening"),"Yes","No")</f>
        <v>Yes</v>
      </c>
      <c r="M733" s="12" t="str">
        <f aca="false">IF(B733&lt;18,"0-17",IF(B733&lt;40,"18-39",IF(B733&lt;60,"40-59","60+")))</f>
        <v>18-39</v>
      </c>
      <c r="N733" s="12" t="str">
        <f aca="false">IF(I733&lt;=1,"0-1 days",IF(I733&lt;=7,"2-7 days",IF(I733&lt;=30,"8-30 days","&gt;30 days")))</f>
        <v>8-30 days</v>
      </c>
    </row>
    <row r="734" customFormat="false" ht="15" hidden="false" customHeight="false" outlineLevel="0" collapsed="false">
      <c r="A734" s="12" t="s">
        <v>975</v>
      </c>
      <c r="B734" s="12" t="n">
        <v>36</v>
      </c>
      <c r="C734" s="12" t="s">
        <v>34</v>
      </c>
      <c r="D734" s="12" t="s">
        <v>99</v>
      </c>
      <c r="E734" s="12" t="s">
        <v>268</v>
      </c>
      <c r="F734" s="12" t="s">
        <v>364</v>
      </c>
      <c r="G734" s="12" t="s">
        <v>38</v>
      </c>
      <c r="H734" s="12" t="s">
        <v>76</v>
      </c>
      <c r="I734" s="12" t="n">
        <v>24</v>
      </c>
      <c r="J734" s="12" t="s">
        <v>40</v>
      </c>
      <c r="K734" s="12" t="s">
        <v>48</v>
      </c>
      <c r="L734" s="12" t="str">
        <f aca="false">IF(OR(H734="Severe",H734="Life-Threatening"),"Yes","No")</f>
        <v>Yes</v>
      </c>
      <c r="M734" s="12" t="str">
        <f aca="false">IF(B734&lt;18,"0-17",IF(B734&lt;40,"18-39",IF(B734&lt;60,"40-59","60+")))</f>
        <v>18-39</v>
      </c>
      <c r="N734" s="12" t="str">
        <f aca="false">IF(I734&lt;=1,"0-1 days",IF(I734&lt;=7,"2-7 days",IF(I734&lt;=30,"8-30 days","&gt;30 days")))</f>
        <v>8-30 days</v>
      </c>
    </row>
    <row r="735" customFormat="false" ht="15" hidden="false" customHeight="false" outlineLevel="0" collapsed="false">
      <c r="A735" s="12" t="s">
        <v>976</v>
      </c>
      <c r="B735" s="12" t="n">
        <v>53</v>
      </c>
      <c r="C735" s="12" t="s">
        <v>34</v>
      </c>
      <c r="D735" s="12" t="s">
        <v>245</v>
      </c>
      <c r="E735" s="12" t="s">
        <v>266</v>
      </c>
      <c r="F735" s="12" t="s">
        <v>114</v>
      </c>
      <c r="G735" s="12" t="s">
        <v>115</v>
      </c>
      <c r="H735" s="12" t="s">
        <v>39</v>
      </c>
      <c r="I735" s="12" t="n">
        <v>17</v>
      </c>
      <c r="J735" s="12" t="s">
        <v>40</v>
      </c>
      <c r="K735" s="12" t="s">
        <v>63</v>
      </c>
      <c r="L735" s="12" t="str">
        <f aca="false">IF(OR(H735="Severe",H735="Life-Threatening"),"Yes","No")</f>
        <v>No</v>
      </c>
      <c r="M735" s="12" t="str">
        <f aca="false">IF(B735&lt;18,"0-17",IF(B735&lt;40,"18-39",IF(B735&lt;60,"40-59","60+")))</f>
        <v>40-59</v>
      </c>
      <c r="N735" s="12" t="str">
        <f aca="false">IF(I735&lt;=1,"0-1 days",IF(I735&lt;=7,"2-7 days",IF(I735&lt;=30,"8-30 days","&gt;30 days")))</f>
        <v>8-30 days</v>
      </c>
    </row>
    <row r="736" customFormat="false" ht="15" hidden="false" customHeight="false" outlineLevel="0" collapsed="false">
      <c r="A736" s="12" t="s">
        <v>977</v>
      </c>
      <c r="B736" s="12" t="n">
        <v>75</v>
      </c>
      <c r="C736" s="12" t="s">
        <v>43</v>
      </c>
      <c r="D736" s="12" t="s">
        <v>35</v>
      </c>
      <c r="E736" s="12" t="s">
        <v>386</v>
      </c>
      <c r="F736" s="12" t="s">
        <v>531</v>
      </c>
      <c r="G736" s="12" t="s">
        <v>94</v>
      </c>
      <c r="H736" s="12" t="s">
        <v>46</v>
      </c>
      <c r="I736" s="12" t="n">
        <v>22</v>
      </c>
      <c r="J736" s="12" t="s">
        <v>40</v>
      </c>
      <c r="K736" s="12" t="s">
        <v>63</v>
      </c>
      <c r="L736" s="12" t="str">
        <f aca="false">IF(OR(H736="Severe",H736="Life-Threatening"),"Yes","No")</f>
        <v>No</v>
      </c>
      <c r="M736" s="12" t="str">
        <f aca="false">IF(B736&lt;18,"0-17",IF(B736&lt;40,"18-39",IF(B736&lt;60,"40-59","60+")))</f>
        <v>60+</v>
      </c>
      <c r="N736" s="12" t="str">
        <f aca="false">IF(I736&lt;=1,"0-1 days",IF(I736&lt;=7,"2-7 days",IF(I736&lt;=30,"8-30 days","&gt;30 days")))</f>
        <v>8-30 days</v>
      </c>
    </row>
    <row r="737" customFormat="false" ht="15" hidden="false" customHeight="false" outlineLevel="0" collapsed="false">
      <c r="A737" s="12" t="s">
        <v>978</v>
      </c>
      <c r="B737" s="12" t="n">
        <v>41</v>
      </c>
      <c r="C737" s="12" t="s">
        <v>43</v>
      </c>
      <c r="D737" s="12" t="s">
        <v>85</v>
      </c>
      <c r="E737" s="12" t="s">
        <v>530</v>
      </c>
      <c r="F737" s="12" t="s">
        <v>62</v>
      </c>
      <c r="G737" s="12" t="s">
        <v>53</v>
      </c>
      <c r="H737" s="12" t="s">
        <v>46</v>
      </c>
      <c r="I737" s="12" t="n">
        <v>19</v>
      </c>
      <c r="J737" s="12" t="s">
        <v>40</v>
      </c>
      <c r="K737" s="12" t="s">
        <v>48</v>
      </c>
      <c r="L737" s="12" t="str">
        <f aca="false">IF(OR(H737="Severe",H737="Life-Threatening"),"Yes","No")</f>
        <v>No</v>
      </c>
      <c r="M737" s="12" t="str">
        <f aca="false">IF(B737&lt;18,"0-17",IF(B737&lt;40,"18-39",IF(B737&lt;60,"40-59","60+")))</f>
        <v>40-59</v>
      </c>
      <c r="N737" s="12" t="str">
        <f aca="false">IF(I737&lt;=1,"0-1 days",IF(I737&lt;=7,"2-7 days",IF(I737&lt;=30,"8-30 days","&gt;30 days")))</f>
        <v>8-30 days</v>
      </c>
    </row>
    <row r="738" customFormat="false" ht="15" hidden="false" customHeight="false" outlineLevel="0" collapsed="false">
      <c r="A738" s="12" t="s">
        <v>979</v>
      </c>
      <c r="B738" s="12" t="n">
        <v>16</v>
      </c>
      <c r="C738" s="12" t="s">
        <v>43</v>
      </c>
      <c r="D738" s="12" t="s">
        <v>231</v>
      </c>
      <c r="E738" s="12" t="s">
        <v>56</v>
      </c>
      <c r="F738" s="12" t="s">
        <v>57</v>
      </c>
      <c r="G738" s="12" t="s">
        <v>58</v>
      </c>
      <c r="H738" s="12" t="s">
        <v>39</v>
      </c>
      <c r="I738" s="12" t="n">
        <v>0</v>
      </c>
      <c r="J738" s="12" t="s">
        <v>47</v>
      </c>
      <c r="K738" s="12" t="s">
        <v>48</v>
      </c>
      <c r="L738" s="12" t="str">
        <f aca="false">IF(OR(H738="Severe",H738="Life-Threatening"),"Yes","No")</f>
        <v>No</v>
      </c>
      <c r="M738" s="12" t="str">
        <f aca="false">IF(B738&lt;18,"0-17",IF(B738&lt;40,"18-39",IF(B738&lt;60,"40-59","60+")))</f>
        <v>0-17</v>
      </c>
      <c r="N738" s="12" t="str">
        <f aca="false">IF(I738&lt;=1,"0-1 days",IF(I738&lt;=7,"2-7 days",IF(I738&lt;=30,"8-30 days","&gt;30 days")))</f>
        <v>0-1 days</v>
      </c>
    </row>
    <row r="739" customFormat="false" ht="15" hidden="false" customHeight="false" outlineLevel="0" collapsed="false">
      <c r="A739" s="12" t="s">
        <v>980</v>
      </c>
      <c r="B739" s="12" t="n">
        <v>22</v>
      </c>
      <c r="C739" s="12" t="s">
        <v>43</v>
      </c>
      <c r="D739" s="12" t="s">
        <v>35</v>
      </c>
      <c r="E739" s="12" t="s">
        <v>225</v>
      </c>
      <c r="F739" s="12" t="s">
        <v>235</v>
      </c>
      <c r="G739" s="12" t="s">
        <v>53</v>
      </c>
      <c r="H739" s="12" t="s">
        <v>46</v>
      </c>
      <c r="I739" s="12" t="n">
        <v>7</v>
      </c>
      <c r="J739" s="12" t="s">
        <v>40</v>
      </c>
      <c r="K739" s="12" t="s">
        <v>147</v>
      </c>
      <c r="L739" s="12" t="str">
        <f aca="false">IF(OR(H739="Severe",H739="Life-Threatening"),"Yes","No")</f>
        <v>No</v>
      </c>
      <c r="M739" s="12" t="str">
        <f aca="false">IF(B739&lt;18,"0-17",IF(B739&lt;40,"18-39",IF(B739&lt;60,"40-59","60+")))</f>
        <v>18-39</v>
      </c>
      <c r="N739" s="12" t="str">
        <f aca="false">IF(I739&lt;=1,"0-1 days",IF(I739&lt;=7,"2-7 days",IF(I739&lt;=30,"8-30 days","&gt;30 days")))</f>
        <v>2-7 days</v>
      </c>
    </row>
    <row r="740" customFormat="false" ht="15" hidden="false" customHeight="false" outlineLevel="0" collapsed="false">
      <c r="A740" s="12" t="s">
        <v>981</v>
      </c>
      <c r="B740" s="12" t="n">
        <v>75</v>
      </c>
      <c r="C740" s="12" t="s">
        <v>43</v>
      </c>
      <c r="D740" s="12" t="s">
        <v>144</v>
      </c>
      <c r="E740" s="12" t="s">
        <v>74</v>
      </c>
      <c r="F740" s="12" t="s">
        <v>139</v>
      </c>
      <c r="G740" s="12" t="s">
        <v>38</v>
      </c>
      <c r="H740" s="12" t="s">
        <v>46</v>
      </c>
      <c r="I740" s="12" t="n">
        <v>7</v>
      </c>
      <c r="J740" s="12" t="s">
        <v>47</v>
      </c>
      <c r="K740" s="12" t="s">
        <v>48</v>
      </c>
      <c r="L740" s="12" t="str">
        <f aca="false">IF(OR(H740="Severe",H740="Life-Threatening"),"Yes","No")</f>
        <v>No</v>
      </c>
      <c r="M740" s="12" t="str">
        <f aca="false">IF(B740&lt;18,"0-17",IF(B740&lt;40,"18-39",IF(B740&lt;60,"40-59","60+")))</f>
        <v>60+</v>
      </c>
      <c r="N740" s="12" t="str">
        <f aca="false">IF(I740&lt;=1,"0-1 days",IF(I740&lt;=7,"2-7 days",IF(I740&lt;=30,"8-30 days","&gt;30 days")))</f>
        <v>2-7 days</v>
      </c>
    </row>
    <row r="741" customFormat="false" ht="15" hidden="false" customHeight="false" outlineLevel="0" collapsed="false">
      <c r="A741" s="12" t="s">
        <v>982</v>
      </c>
      <c r="B741" s="12" t="n">
        <v>57</v>
      </c>
      <c r="C741" s="12" t="s">
        <v>34</v>
      </c>
      <c r="D741" s="12" t="s">
        <v>144</v>
      </c>
      <c r="E741" s="12" t="s">
        <v>134</v>
      </c>
      <c r="F741" s="12" t="s">
        <v>135</v>
      </c>
      <c r="G741" s="12" t="s">
        <v>136</v>
      </c>
      <c r="H741" s="12" t="s">
        <v>46</v>
      </c>
      <c r="I741" s="12" t="n">
        <v>25</v>
      </c>
      <c r="J741" s="12" t="s">
        <v>47</v>
      </c>
      <c r="K741" s="12" t="s">
        <v>48</v>
      </c>
      <c r="L741" s="12" t="str">
        <f aca="false">IF(OR(H741="Severe",H741="Life-Threatening"),"Yes","No")</f>
        <v>No</v>
      </c>
      <c r="M741" s="12" t="str">
        <f aca="false">IF(B741&lt;18,"0-17",IF(B741&lt;40,"18-39",IF(B741&lt;60,"40-59","60+")))</f>
        <v>40-59</v>
      </c>
      <c r="N741" s="12" t="str">
        <f aca="false">IF(I741&lt;=1,"0-1 days",IF(I741&lt;=7,"2-7 days",IF(I741&lt;=30,"8-30 days","&gt;30 days")))</f>
        <v>8-30 days</v>
      </c>
    </row>
    <row r="742" customFormat="false" ht="15" hidden="false" customHeight="false" outlineLevel="0" collapsed="false">
      <c r="A742" s="12" t="s">
        <v>983</v>
      </c>
      <c r="B742" s="12" t="n">
        <v>84</v>
      </c>
      <c r="C742" s="12" t="s">
        <v>43</v>
      </c>
      <c r="D742" s="12" t="s">
        <v>196</v>
      </c>
      <c r="E742" s="12" t="s">
        <v>89</v>
      </c>
      <c r="F742" s="12" t="s">
        <v>37</v>
      </c>
      <c r="G742" s="12" t="s">
        <v>38</v>
      </c>
      <c r="H742" s="12" t="s">
        <v>46</v>
      </c>
      <c r="I742" s="12" t="n">
        <v>23</v>
      </c>
      <c r="J742" s="12" t="s">
        <v>40</v>
      </c>
      <c r="K742" s="12" t="s">
        <v>48</v>
      </c>
      <c r="L742" s="12" t="str">
        <f aca="false">IF(OR(H742="Severe",H742="Life-Threatening"),"Yes","No")</f>
        <v>No</v>
      </c>
      <c r="M742" s="12" t="str">
        <f aca="false">IF(B742&lt;18,"0-17",IF(B742&lt;40,"18-39",IF(B742&lt;60,"40-59","60+")))</f>
        <v>60+</v>
      </c>
      <c r="N742" s="12" t="str">
        <f aca="false">IF(I742&lt;=1,"0-1 days",IF(I742&lt;=7,"2-7 days",IF(I742&lt;=30,"8-30 days","&gt;30 days")))</f>
        <v>8-30 days</v>
      </c>
    </row>
    <row r="743" customFormat="false" ht="15" hidden="false" customHeight="false" outlineLevel="0" collapsed="false">
      <c r="A743" s="12" t="s">
        <v>984</v>
      </c>
      <c r="B743" s="12" t="n">
        <v>32</v>
      </c>
      <c r="C743" s="12" t="s">
        <v>34</v>
      </c>
      <c r="D743" s="12" t="s">
        <v>35</v>
      </c>
      <c r="E743" s="12" t="s">
        <v>241</v>
      </c>
      <c r="F743" s="12" t="s">
        <v>333</v>
      </c>
      <c r="G743" s="12" t="s">
        <v>104</v>
      </c>
      <c r="H743" s="12" t="s">
        <v>39</v>
      </c>
      <c r="I743" s="12" t="n">
        <v>28</v>
      </c>
      <c r="J743" s="12" t="s">
        <v>67</v>
      </c>
      <c r="K743" s="12" t="s">
        <v>41</v>
      </c>
      <c r="L743" s="12" t="str">
        <f aca="false">IF(OR(H743="Severe",H743="Life-Threatening"),"Yes","No")</f>
        <v>No</v>
      </c>
      <c r="M743" s="12" t="str">
        <f aca="false">IF(B743&lt;18,"0-17",IF(B743&lt;40,"18-39",IF(B743&lt;60,"40-59","60+")))</f>
        <v>18-39</v>
      </c>
      <c r="N743" s="12" t="str">
        <f aca="false">IF(I743&lt;=1,"0-1 days",IF(I743&lt;=7,"2-7 days",IF(I743&lt;=30,"8-30 days","&gt;30 days")))</f>
        <v>8-30 days</v>
      </c>
    </row>
    <row r="744" customFormat="false" ht="15" hidden="false" customHeight="false" outlineLevel="0" collapsed="false">
      <c r="A744" s="12" t="s">
        <v>985</v>
      </c>
      <c r="B744" s="12" t="n">
        <v>46</v>
      </c>
      <c r="C744" s="12" t="s">
        <v>43</v>
      </c>
      <c r="D744" s="12" t="s">
        <v>194</v>
      </c>
      <c r="E744" s="12" t="s">
        <v>191</v>
      </c>
      <c r="F744" s="12" t="s">
        <v>45</v>
      </c>
      <c r="G744" s="12" t="s">
        <v>38</v>
      </c>
      <c r="H744" s="12" t="s">
        <v>39</v>
      </c>
      <c r="I744" s="12" t="n">
        <v>22</v>
      </c>
      <c r="J744" s="12" t="s">
        <v>47</v>
      </c>
      <c r="K744" s="12" t="s">
        <v>63</v>
      </c>
      <c r="L744" s="12" t="str">
        <f aca="false">IF(OR(H744="Severe",H744="Life-Threatening"),"Yes","No")</f>
        <v>No</v>
      </c>
      <c r="M744" s="12" t="str">
        <f aca="false">IF(B744&lt;18,"0-17",IF(B744&lt;40,"18-39",IF(B744&lt;60,"40-59","60+")))</f>
        <v>40-59</v>
      </c>
      <c r="N744" s="12" t="str">
        <f aca="false">IF(I744&lt;=1,"0-1 days",IF(I744&lt;=7,"2-7 days",IF(I744&lt;=30,"8-30 days","&gt;30 days")))</f>
        <v>8-30 days</v>
      </c>
    </row>
    <row r="745" customFormat="false" ht="15" hidden="false" customHeight="false" outlineLevel="0" collapsed="false">
      <c r="A745" s="12" t="s">
        <v>986</v>
      </c>
      <c r="B745" s="12" t="n">
        <v>65</v>
      </c>
      <c r="C745" s="12" t="s">
        <v>34</v>
      </c>
      <c r="D745" s="12" t="s">
        <v>102</v>
      </c>
      <c r="E745" s="12" t="s">
        <v>56</v>
      </c>
      <c r="F745" s="12" t="s">
        <v>57</v>
      </c>
      <c r="G745" s="12" t="s">
        <v>58</v>
      </c>
      <c r="H745" s="12" t="s">
        <v>59</v>
      </c>
      <c r="I745" s="12" t="n">
        <v>0</v>
      </c>
      <c r="J745" s="12" t="s">
        <v>47</v>
      </c>
      <c r="K745" s="12" t="s">
        <v>48</v>
      </c>
      <c r="L745" s="12" t="str">
        <f aca="false">IF(OR(H745="Severe",H745="Life-Threatening"),"Yes","No")</f>
        <v>Yes</v>
      </c>
      <c r="M745" s="12" t="str">
        <f aca="false">IF(B745&lt;18,"0-17",IF(B745&lt;40,"18-39",IF(B745&lt;60,"40-59","60+")))</f>
        <v>60+</v>
      </c>
      <c r="N745" s="12" t="str">
        <f aca="false">IF(I745&lt;=1,"0-1 days",IF(I745&lt;=7,"2-7 days",IF(I745&lt;=30,"8-30 days","&gt;30 days")))</f>
        <v>0-1 days</v>
      </c>
    </row>
    <row r="746" customFormat="false" ht="15" hidden="false" customHeight="false" outlineLevel="0" collapsed="false">
      <c r="A746" s="12" t="s">
        <v>987</v>
      </c>
      <c r="B746" s="12" t="n">
        <v>38</v>
      </c>
      <c r="C746" s="12" t="s">
        <v>34</v>
      </c>
      <c r="D746" s="12" t="s">
        <v>50</v>
      </c>
      <c r="E746" s="12" t="s">
        <v>386</v>
      </c>
      <c r="F746" s="12" t="s">
        <v>114</v>
      </c>
      <c r="G746" s="12" t="s">
        <v>115</v>
      </c>
      <c r="H746" s="12" t="s">
        <v>76</v>
      </c>
      <c r="I746" s="12" t="n">
        <v>9</v>
      </c>
      <c r="J746" s="12" t="s">
        <v>40</v>
      </c>
      <c r="K746" s="12" t="s">
        <v>48</v>
      </c>
      <c r="L746" s="12" t="str">
        <f aca="false">IF(OR(H746="Severe",H746="Life-Threatening"),"Yes","No")</f>
        <v>Yes</v>
      </c>
      <c r="M746" s="12" t="str">
        <f aca="false">IF(B746&lt;18,"0-17",IF(B746&lt;40,"18-39",IF(B746&lt;60,"40-59","60+")))</f>
        <v>18-39</v>
      </c>
      <c r="N746" s="12" t="str">
        <f aca="false">IF(I746&lt;=1,"0-1 days",IF(I746&lt;=7,"2-7 days",IF(I746&lt;=30,"8-30 days","&gt;30 days")))</f>
        <v>8-30 days</v>
      </c>
    </row>
    <row r="747" customFormat="false" ht="15" hidden="false" customHeight="false" outlineLevel="0" collapsed="false">
      <c r="A747" s="12" t="s">
        <v>988</v>
      </c>
      <c r="B747" s="12" t="n">
        <v>50</v>
      </c>
      <c r="C747" s="12" t="s">
        <v>34</v>
      </c>
      <c r="D747" s="12" t="s">
        <v>155</v>
      </c>
      <c r="E747" s="12" t="s">
        <v>44</v>
      </c>
      <c r="F747" s="12" t="s">
        <v>45</v>
      </c>
      <c r="G747" s="12" t="s">
        <v>38</v>
      </c>
      <c r="H747" s="12" t="s">
        <v>46</v>
      </c>
      <c r="I747" s="12" t="n">
        <v>16</v>
      </c>
      <c r="J747" s="12" t="s">
        <v>47</v>
      </c>
      <c r="K747" s="12" t="s">
        <v>48</v>
      </c>
      <c r="L747" s="12" t="str">
        <f aca="false">IF(OR(H747="Severe",H747="Life-Threatening"),"Yes","No")</f>
        <v>No</v>
      </c>
      <c r="M747" s="12" t="str">
        <f aca="false">IF(B747&lt;18,"0-17",IF(B747&lt;40,"18-39",IF(B747&lt;60,"40-59","60+")))</f>
        <v>40-59</v>
      </c>
      <c r="N747" s="12" t="str">
        <f aca="false">IF(I747&lt;=1,"0-1 days",IF(I747&lt;=7,"2-7 days",IF(I747&lt;=30,"8-30 days","&gt;30 days")))</f>
        <v>8-30 days</v>
      </c>
    </row>
    <row r="748" customFormat="false" ht="15" hidden="false" customHeight="false" outlineLevel="0" collapsed="false">
      <c r="A748" s="12" t="s">
        <v>989</v>
      </c>
      <c r="B748" s="12" t="n">
        <v>56</v>
      </c>
      <c r="C748" s="12" t="s">
        <v>43</v>
      </c>
      <c r="D748" s="12" t="s">
        <v>69</v>
      </c>
      <c r="E748" s="12" t="s">
        <v>241</v>
      </c>
      <c r="F748" s="12" t="s">
        <v>135</v>
      </c>
      <c r="G748" s="12" t="s">
        <v>136</v>
      </c>
      <c r="H748" s="12" t="s">
        <v>39</v>
      </c>
      <c r="I748" s="12" t="n">
        <v>30</v>
      </c>
      <c r="J748" s="12" t="s">
        <v>40</v>
      </c>
      <c r="K748" s="12" t="s">
        <v>147</v>
      </c>
      <c r="L748" s="12" t="str">
        <f aca="false">IF(OR(H748="Severe",H748="Life-Threatening"),"Yes","No")</f>
        <v>No</v>
      </c>
      <c r="M748" s="12" t="str">
        <f aca="false">IF(B748&lt;18,"0-17",IF(B748&lt;40,"18-39",IF(B748&lt;60,"40-59","60+")))</f>
        <v>40-59</v>
      </c>
      <c r="N748" s="12" t="str">
        <f aca="false">IF(I748&lt;=1,"0-1 days",IF(I748&lt;=7,"2-7 days",IF(I748&lt;=30,"8-30 days","&gt;30 days")))</f>
        <v>8-30 days</v>
      </c>
    </row>
    <row r="749" customFormat="false" ht="15" hidden="false" customHeight="false" outlineLevel="0" collapsed="false">
      <c r="A749" s="12" t="s">
        <v>990</v>
      </c>
      <c r="B749" s="12" t="n">
        <v>43</v>
      </c>
      <c r="C749" s="12" t="s">
        <v>43</v>
      </c>
      <c r="D749" s="12" t="s">
        <v>88</v>
      </c>
      <c r="E749" s="12" t="s">
        <v>74</v>
      </c>
      <c r="F749" s="12" t="s">
        <v>214</v>
      </c>
      <c r="G749" s="12" t="s">
        <v>115</v>
      </c>
      <c r="H749" s="12" t="s">
        <v>39</v>
      </c>
      <c r="I749" s="12" t="n">
        <v>8</v>
      </c>
      <c r="J749" s="12" t="s">
        <v>40</v>
      </c>
      <c r="K749" s="12" t="s">
        <v>48</v>
      </c>
      <c r="L749" s="12" t="str">
        <f aca="false">IF(OR(H749="Severe",H749="Life-Threatening"),"Yes","No")</f>
        <v>No</v>
      </c>
      <c r="M749" s="12" t="str">
        <f aca="false">IF(B749&lt;18,"0-17",IF(B749&lt;40,"18-39",IF(B749&lt;60,"40-59","60+")))</f>
        <v>40-59</v>
      </c>
      <c r="N749" s="12" t="str">
        <f aca="false">IF(I749&lt;=1,"0-1 days",IF(I749&lt;=7,"2-7 days",IF(I749&lt;=30,"8-30 days","&gt;30 days")))</f>
        <v>8-30 days</v>
      </c>
    </row>
    <row r="750" customFormat="false" ht="15" hidden="false" customHeight="false" outlineLevel="0" collapsed="false">
      <c r="A750" s="12" t="s">
        <v>991</v>
      </c>
      <c r="B750" s="12" t="n">
        <v>31</v>
      </c>
      <c r="C750" s="12" t="s">
        <v>34</v>
      </c>
      <c r="D750" s="12" t="s">
        <v>163</v>
      </c>
      <c r="E750" s="12" t="s">
        <v>498</v>
      </c>
      <c r="F750" s="12" t="s">
        <v>322</v>
      </c>
      <c r="G750" s="12" t="s">
        <v>53</v>
      </c>
      <c r="H750" s="12" t="s">
        <v>46</v>
      </c>
      <c r="I750" s="12" t="n">
        <v>16</v>
      </c>
      <c r="J750" s="12" t="s">
        <v>40</v>
      </c>
      <c r="K750" s="12" t="s">
        <v>41</v>
      </c>
      <c r="L750" s="12" t="str">
        <f aca="false">IF(OR(H750="Severe",H750="Life-Threatening"),"Yes","No")</f>
        <v>No</v>
      </c>
      <c r="M750" s="12" t="str">
        <f aca="false">IF(B750&lt;18,"0-17",IF(B750&lt;40,"18-39",IF(B750&lt;60,"40-59","60+")))</f>
        <v>18-39</v>
      </c>
      <c r="N750" s="12" t="str">
        <f aca="false">IF(I750&lt;=1,"0-1 days",IF(I750&lt;=7,"2-7 days",IF(I750&lt;=30,"8-30 days","&gt;30 days")))</f>
        <v>8-30 days</v>
      </c>
    </row>
    <row r="751" customFormat="false" ht="15" hidden="false" customHeight="false" outlineLevel="0" collapsed="false">
      <c r="A751" s="12" t="s">
        <v>992</v>
      </c>
      <c r="B751" s="12" t="n">
        <v>49</v>
      </c>
      <c r="C751" s="12" t="s">
        <v>34</v>
      </c>
      <c r="D751" s="12" t="s">
        <v>155</v>
      </c>
      <c r="E751" s="12" t="s">
        <v>307</v>
      </c>
      <c r="F751" s="12" t="s">
        <v>62</v>
      </c>
      <c r="G751" s="12" t="s">
        <v>53</v>
      </c>
      <c r="H751" s="12" t="s">
        <v>46</v>
      </c>
      <c r="I751" s="12" t="n">
        <v>30</v>
      </c>
      <c r="J751" s="12" t="s">
        <v>40</v>
      </c>
      <c r="K751" s="12" t="s">
        <v>48</v>
      </c>
      <c r="L751" s="12" t="str">
        <f aca="false">IF(OR(H751="Severe",H751="Life-Threatening"),"Yes","No")</f>
        <v>No</v>
      </c>
      <c r="M751" s="12" t="str">
        <f aca="false">IF(B751&lt;18,"0-17",IF(B751&lt;40,"18-39",IF(B751&lt;60,"40-59","60+")))</f>
        <v>40-59</v>
      </c>
      <c r="N751" s="12" t="str">
        <f aca="false">IF(I751&lt;=1,"0-1 days",IF(I751&lt;=7,"2-7 days",IF(I751&lt;=30,"8-30 days","&gt;30 days")))</f>
        <v>8-30 days</v>
      </c>
    </row>
    <row r="752" customFormat="false" ht="15" hidden="false" customHeight="false" outlineLevel="0" collapsed="false">
      <c r="A752" s="12" t="s">
        <v>993</v>
      </c>
      <c r="B752" s="12" t="n">
        <v>77</v>
      </c>
      <c r="C752" s="12" t="s">
        <v>43</v>
      </c>
      <c r="D752" s="12" t="s">
        <v>123</v>
      </c>
      <c r="E752" s="12" t="s">
        <v>113</v>
      </c>
      <c r="F752" s="12" t="s">
        <v>114</v>
      </c>
      <c r="G752" s="12" t="s">
        <v>115</v>
      </c>
      <c r="H752" s="12" t="s">
        <v>59</v>
      </c>
      <c r="I752" s="12" t="n">
        <v>45</v>
      </c>
      <c r="J752" s="12" t="s">
        <v>67</v>
      </c>
      <c r="K752" s="12" t="s">
        <v>48</v>
      </c>
      <c r="L752" s="12" t="str">
        <f aca="false">IF(OR(H752="Severe",H752="Life-Threatening"),"Yes","No")</f>
        <v>Yes</v>
      </c>
      <c r="M752" s="12" t="str">
        <f aca="false">IF(B752&lt;18,"0-17",IF(B752&lt;40,"18-39",IF(B752&lt;60,"40-59","60+")))</f>
        <v>60+</v>
      </c>
      <c r="N752" s="12" t="str">
        <f aca="false">IF(I752&lt;=1,"0-1 days",IF(I752&lt;=7,"2-7 days",IF(I752&lt;=30,"8-30 days","&gt;30 days")))</f>
        <v>&gt;30 days</v>
      </c>
    </row>
    <row r="753" customFormat="false" ht="15" hidden="false" customHeight="false" outlineLevel="0" collapsed="false">
      <c r="A753" s="12" t="s">
        <v>994</v>
      </c>
      <c r="B753" s="12" t="n">
        <v>50</v>
      </c>
      <c r="C753" s="12" t="s">
        <v>34</v>
      </c>
      <c r="D753" s="12" t="s">
        <v>245</v>
      </c>
      <c r="E753" s="12" t="s">
        <v>256</v>
      </c>
      <c r="F753" s="12" t="s">
        <v>165</v>
      </c>
      <c r="G753" s="12" t="s">
        <v>53</v>
      </c>
      <c r="H753" s="12" t="s">
        <v>39</v>
      </c>
      <c r="I753" s="12" t="n">
        <v>12</v>
      </c>
      <c r="J753" s="12" t="s">
        <v>40</v>
      </c>
      <c r="K753" s="12" t="s">
        <v>63</v>
      </c>
      <c r="L753" s="12" t="str">
        <f aca="false">IF(OR(H753="Severe",H753="Life-Threatening"),"Yes","No")</f>
        <v>No</v>
      </c>
      <c r="M753" s="12" t="str">
        <f aca="false">IF(B753&lt;18,"0-17",IF(B753&lt;40,"18-39",IF(B753&lt;60,"40-59","60+")))</f>
        <v>40-59</v>
      </c>
      <c r="N753" s="12" t="str">
        <f aca="false">IF(I753&lt;=1,"0-1 days",IF(I753&lt;=7,"2-7 days",IF(I753&lt;=30,"8-30 days","&gt;30 days")))</f>
        <v>8-30 days</v>
      </c>
    </row>
    <row r="754" customFormat="false" ht="15" hidden="false" customHeight="false" outlineLevel="0" collapsed="false">
      <c r="A754" s="12" t="s">
        <v>995</v>
      </c>
      <c r="B754" s="12" t="n">
        <v>16</v>
      </c>
      <c r="C754" s="12" t="s">
        <v>34</v>
      </c>
      <c r="D754" s="12" t="s">
        <v>69</v>
      </c>
      <c r="E754" s="12" t="s">
        <v>173</v>
      </c>
      <c r="F754" s="12" t="s">
        <v>131</v>
      </c>
      <c r="G754" s="12" t="s">
        <v>94</v>
      </c>
      <c r="H754" s="12" t="s">
        <v>39</v>
      </c>
      <c r="I754" s="12" t="n">
        <v>20</v>
      </c>
      <c r="J754" s="12" t="s">
        <v>47</v>
      </c>
      <c r="K754" s="12" t="s">
        <v>63</v>
      </c>
      <c r="L754" s="12" t="str">
        <f aca="false">IF(OR(H754="Severe",H754="Life-Threatening"),"Yes","No")</f>
        <v>No</v>
      </c>
      <c r="M754" s="12" t="str">
        <f aca="false">IF(B754&lt;18,"0-17",IF(B754&lt;40,"18-39",IF(B754&lt;60,"40-59","60+")))</f>
        <v>0-17</v>
      </c>
      <c r="N754" s="12" t="str">
        <f aca="false">IF(I754&lt;=1,"0-1 days",IF(I754&lt;=7,"2-7 days",IF(I754&lt;=30,"8-30 days","&gt;30 days")))</f>
        <v>8-30 days</v>
      </c>
    </row>
    <row r="755" customFormat="false" ht="15" hidden="false" customHeight="false" outlineLevel="0" collapsed="false">
      <c r="A755" s="12" t="s">
        <v>996</v>
      </c>
      <c r="B755" s="12" t="n">
        <v>19</v>
      </c>
      <c r="C755" s="12" t="s">
        <v>43</v>
      </c>
      <c r="D755" s="12" t="s">
        <v>168</v>
      </c>
      <c r="E755" s="12" t="s">
        <v>386</v>
      </c>
      <c r="F755" s="12" t="s">
        <v>531</v>
      </c>
      <c r="G755" s="12" t="s">
        <v>94</v>
      </c>
      <c r="H755" s="12" t="s">
        <v>46</v>
      </c>
      <c r="I755" s="12" t="n">
        <v>9</v>
      </c>
      <c r="J755" s="12" t="s">
        <v>40</v>
      </c>
      <c r="K755" s="12" t="s">
        <v>48</v>
      </c>
      <c r="L755" s="12" t="str">
        <f aca="false">IF(OR(H755="Severe",H755="Life-Threatening"),"Yes","No")</f>
        <v>No</v>
      </c>
      <c r="M755" s="12" t="str">
        <f aca="false">IF(B755&lt;18,"0-17",IF(B755&lt;40,"18-39",IF(B755&lt;60,"40-59","60+")))</f>
        <v>18-39</v>
      </c>
      <c r="N755" s="12" t="str">
        <f aca="false">IF(I755&lt;=1,"0-1 days",IF(I755&lt;=7,"2-7 days",IF(I755&lt;=30,"8-30 days","&gt;30 days")))</f>
        <v>8-30 days</v>
      </c>
    </row>
    <row r="756" customFormat="false" ht="15" hidden="false" customHeight="false" outlineLevel="0" collapsed="false">
      <c r="A756" s="12" t="s">
        <v>997</v>
      </c>
      <c r="B756" s="12" t="n">
        <v>20</v>
      </c>
      <c r="C756" s="12" t="s">
        <v>43</v>
      </c>
      <c r="D756" s="12" t="s">
        <v>55</v>
      </c>
      <c r="E756" s="12" t="s">
        <v>530</v>
      </c>
      <c r="F756" s="12" t="s">
        <v>531</v>
      </c>
      <c r="G756" s="12" t="s">
        <v>94</v>
      </c>
      <c r="H756" s="12" t="s">
        <v>59</v>
      </c>
      <c r="I756" s="12" t="n">
        <v>29</v>
      </c>
      <c r="J756" s="12" t="s">
        <v>47</v>
      </c>
      <c r="K756" s="12" t="s">
        <v>48</v>
      </c>
      <c r="L756" s="12" t="str">
        <f aca="false">IF(OR(H756="Severe",H756="Life-Threatening"),"Yes","No")</f>
        <v>Yes</v>
      </c>
      <c r="M756" s="12" t="str">
        <f aca="false">IF(B756&lt;18,"0-17",IF(B756&lt;40,"18-39",IF(B756&lt;60,"40-59","60+")))</f>
        <v>18-39</v>
      </c>
      <c r="N756" s="12" t="str">
        <f aca="false">IF(I756&lt;=1,"0-1 days",IF(I756&lt;=7,"2-7 days",IF(I756&lt;=30,"8-30 days","&gt;30 days")))</f>
        <v>8-30 days</v>
      </c>
    </row>
    <row r="757" customFormat="false" ht="15" hidden="false" customHeight="false" outlineLevel="0" collapsed="false">
      <c r="A757" s="12" t="s">
        <v>998</v>
      </c>
      <c r="B757" s="12" t="n">
        <v>65</v>
      </c>
      <c r="C757" s="12" t="s">
        <v>43</v>
      </c>
      <c r="D757" s="12" t="s">
        <v>35</v>
      </c>
      <c r="E757" s="12" t="s">
        <v>181</v>
      </c>
      <c r="F757" s="12" t="s">
        <v>37</v>
      </c>
      <c r="G757" s="12" t="s">
        <v>38</v>
      </c>
      <c r="H757" s="12" t="s">
        <v>39</v>
      </c>
      <c r="I757" s="12" t="n">
        <v>18</v>
      </c>
      <c r="J757" s="12" t="s">
        <v>40</v>
      </c>
      <c r="K757" s="12" t="s">
        <v>63</v>
      </c>
      <c r="L757" s="12" t="str">
        <f aca="false">IF(OR(H757="Severe",H757="Life-Threatening"),"Yes","No")</f>
        <v>No</v>
      </c>
      <c r="M757" s="12" t="str">
        <f aca="false">IF(B757&lt;18,"0-17",IF(B757&lt;40,"18-39",IF(B757&lt;60,"40-59","60+")))</f>
        <v>60+</v>
      </c>
      <c r="N757" s="12" t="str">
        <f aca="false">IF(I757&lt;=1,"0-1 days",IF(I757&lt;=7,"2-7 days",IF(I757&lt;=30,"8-30 days","&gt;30 days")))</f>
        <v>8-30 days</v>
      </c>
    </row>
    <row r="758" customFormat="false" ht="15" hidden="false" customHeight="false" outlineLevel="0" collapsed="false">
      <c r="A758" s="12" t="s">
        <v>999</v>
      </c>
      <c r="B758" s="12" t="n">
        <v>62</v>
      </c>
      <c r="C758" s="12" t="s">
        <v>43</v>
      </c>
      <c r="D758" s="12" t="s">
        <v>69</v>
      </c>
      <c r="E758" s="12" t="s">
        <v>89</v>
      </c>
      <c r="F758" s="12" t="s">
        <v>37</v>
      </c>
      <c r="G758" s="12" t="s">
        <v>38</v>
      </c>
      <c r="H758" s="12" t="s">
        <v>39</v>
      </c>
      <c r="I758" s="12" t="n">
        <v>29</v>
      </c>
      <c r="J758" s="12" t="s">
        <v>67</v>
      </c>
      <c r="K758" s="12" t="s">
        <v>48</v>
      </c>
      <c r="L758" s="12" t="str">
        <f aca="false">IF(OR(H758="Severe",H758="Life-Threatening"),"Yes","No")</f>
        <v>No</v>
      </c>
      <c r="M758" s="12" t="str">
        <f aca="false">IF(B758&lt;18,"0-17",IF(B758&lt;40,"18-39",IF(B758&lt;60,"40-59","60+")))</f>
        <v>60+</v>
      </c>
      <c r="N758" s="12" t="str">
        <f aca="false">IF(I758&lt;=1,"0-1 days",IF(I758&lt;=7,"2-7 days",IF(I758&lt;=30,"8-30 days","&gt;30 days")))</f>
        <v>8-30 days</v>
      </c>
    </row>
    <row r="759" customFormat="false" ht="15" hidden="false" customHeight="false" outlineLevel="0" collapsed="false">
      <c r="A759" s="12" t="s">
        <v>1000</v>
      </c>
      <c r="B759" s="12" t="n">
        <v>23</v>
      </c>
      <c r="C759" s="12" t="s">
        <v>43</v>
      </c>
      <c r="D759" s="12" t="s">
        <v>102</v>
      </c>
      <c r="E759" s="12" t="s">
        <v>36</v>
      </c>
      <c r="F759" s="12" t="s">
        <v>37</v>
      </c>
      <c r="G759" s="12" t="s">
        <v>38</v>
      </c>
      <c r="H759" s="12" t="s">
        <v>39</v>
      </c>
      <c r="I759" s="12" t="n">
        <v>14</v>
      </c>
      <c r="J759" s="12" t="s">
        <v>47</v>
      </c>
      <c r="K759" s="12" t="s">
        <v>41</v>
      </c>
      <c r="L759" s="12" t="str">
        <f aca="false">IF(OR(H759="Severe",H759="Life-Threatening"),"Yes","No")</f>
        <v>No</v>
      </c>
      <c r="M759" s="12" t="str">
        <f aca="false">IF(B759&lt;18,"0-17",IF(B759&lt;40,"18-39",IF(B759&lt;60,"40-59","60+")))</f>
        <v>18-39</v>
      </c>
      <c r="N759" s="12" t="str">
        <f aca="false">IF(I759&lt;=1,"0-1 days",IF(I759&lt;=7,"2-7 days",IF(I759&lt;=30,"8-30 days","&gt;30 days")))</f>
        <v>8-30 days</v>
      </c>
    </row>
    <row r="760" customFormat="false" ht="15" hidden="false" customHeight="false" outlineLevel="0" collapsed="false">
      <c r="A760" s="12" t="s">
        <v>1001</v>
      </c>
      <c r="B760" s="12" t="n">
        <v>39</v>
      </c>
      <c r="C760" s="12" t="s">
        <v>43</v>
      </c>
      <c r="D760" s="12" t="s">
        <v>155</v>
      </c>
      <c r="E760" s="12" t="s">
        <v>36</v>
      </c>
      <c r="F760" s="12" t="s">
        <v>364</v>
      </c>
      <c r="G760" s="12" t="s">
        <v>38</v>
      </c>
      <c r="H760" s="12" t="s">
        <v>76</v>
      </c>
      <c r="I760" s="12" t="n">
        <v>21</v>
      </c>
      <c r="J760" s="12" t="s">
        <v>169</v>
      </c>
      <c r="K760" s="12" t="s">
        <v>48</v>
      </c>
      <c r="L760" s="12" t="str">
        <f aca="false">IF(OR(H760="Severe",H760="Life-Threatening"),"Yes","No")</f>
        <v>Yes</v>
      </c>
      <c r="M760" s="12" t="str">
        <f aca="false">IF(B760&lt;18,"0-17",IF(B760&lt;40,"18-39",IF(B760&lt;60,"40-59","60+")))</f>
        <v>18-39</v>
      </c>
      <c r="N760" s="12" t="str">
        <f aca="false">IF(I760&lt;=1,"0-1 days",IF(I760&lt;=7,"2-7 days",IF(I760&lt;=30,"8-30 days","&gt;30 days")))</f>
        <v>8-30 days</v>
      </c>
    </row>
    <row r="761" customFormat="false" ht="15" hidden="false" customHeight="false" outlineLevel="0" collapsed="false">
      <c r="A761" s="12" t="s">
        <v>1002</v>
      </c>
      <c r="B761" s="12" t="n">
        <v>84</v>
      </c>
      <c r="C761" s="12" t="s">
        <v>43</v>
      </c>
      <c r="D761" s="12" t="s">
        <v>55</v>
      </c>
      <c r="E761" s="12" t="s">
        <v>352</v>
      </c>
      <c r="F761" s="12" t="s">
        <v>171</v>
      </c>
      <c r="G761" s="12" t="s">
        <v>53</v>
      </c>
      <c r="H761" s="12" t="s">
        <v>46</v>
      </c>
      <c r="I761" s="12" t="n">
        <v>19</v>
      </c>
      <c r="J761" s="12" t="s">
        <v>40</v>
      </c>
      <c r="K761" s="12" t="s">
        <v>48</v>
      </c>
      <c r="L761" s="12" t="str">
        <f aca="false">IF(OR(H761="Severe",H761="Life-Threatening"),"Yes","No")</f>
        <v>No</v>
      </c>
      <c r="M761" s="12" t="str">
        <f aca="false">IF(B761&lt;18,"0-17",IF(B761&lt;40,"18-39",IF(B761&lt;60,"40-59","60+")))</f>
        <v>60+</v>
      </c>
      <c r="N761" s="12" t="str">
        <f aca="false">IF(I761&lt;=1,"0-1 days",IF(I761&lt;=7,"2-7 days",IF(I761&lt;=30,"8-30 days","&gt;30 days")))</f>
        <v>8-30 days</v>
      </c>
    </row>
    <row r="762" customFormat="false" ht="15" hidden="false" customHeight="false" outlineLevel="0" collapsed="false">
      <c r="A762" s="12" t="s">
        <v>1003</v>
      </c>
      <c r="B762" s="12" t="n">
        <v>52</v>
      </c>
      <c r="C762" s="12" t="s">
        <v>34</v>
      </c>
      <c r="D762" s="12" t="s">
        <v>190</v>
      </c>
      <c r="E762" s="12" t="s">
        <v>156</v>
      </c>
      <c r="F762" s="12" t="s">
        <v>93</v>
      </c>
      <c r="G762" s="12" t="s">
        <v>94</v>
      </c>
      <c r="H762" s="12" t="s">
        <v>39</v>
      </c>
      <c r="I762" s="12" t="n">
        <v>45</v>
      </c>
      <c r="J762" s="12" t="s">
        <v>47</v>
      </c>
      <c r="K762" s="12" t="s">
        <v>63</v>
      </c>
      <c r="L762" s="12" t="str">
        <f aca="false">IF(OR(H762="Severe",H762="Life-Threatening"),"Yes","No")</f>
        <v>No</v>
      </c>
      <c r="M762" s="12" t="str">
        <f aca="false">IF(B762&lt;18,"0-17",IF(B762&lt;40,"18-39",IF(B762&lt;60,"40-59","60+")))</f>
        <v>40-59</v>
      </c>
      <c r="N762" s="12" t="str">
        <f aca="false">IF(I762&lt;=1,"0-1 days",IF(I762&lt;=7,"2-7 days",IF(I762&lt;=30,"8-30 days","&gt;30 days")))</f>
        <v>&gt;30 days</v>
      </c>
    </row>
    <row r="763" customFormat="false" ht="15" hidden="false" customHeight="false" outlineLevel="0" collapsed="false">
      <c r="A763" s="12" t="s">
        <v>1004</v>
      </c>
      <c r="B763" s="12" t="n">
        <v>73</v>
      </c>
      <c r="C763" s="12" t="s">
        <v>34</v>
      </c>
      <c r="D763" s="12" t="s">
        <v>55</v>
      </c>
      <c r="E763" s="12" t="s">
        <v>407</v>
      </c>
      <c r="F763" s="12" t="s">
        <v>62</v>
      </c>
      <c r="G763" s="12" t="s">
        <v>53</v>
      </c>
      <c r="H763" s="12" t="s">
        <v>76</v>
      </c>
      <c r="I763" s="12" t="n">
        <v>27</v>
      </c>
      <c r="J763" s="12" t="s">
        <v>40</v>
      </c>
      <c r="K763" s="12" t="s">
        <v>63</v>
      </c>
      <c r="L763" s="12" t="str">
        <f aca="false">IF(OR(H763="Severe",H763="Life-Threatening"),"Yes","No")</f>
        <v>Yes</v>
      </c>
      <c r="M763" s="12" t="str">
        <f aca="false">IF(B763&lt;18,"0-17",IF(B763&lt;40,"18-39",IF(B763&lt;60,"40-59","60+")))</f>
        <v>60+</v>
      </c>
      <c r="N763" s="12" t="str">
        <f aca="false">IF(I763&lt;=1,"0-1 days",IF(I763&lt;=7,"2-7 days",IF(I763&lt;=30,"8-30 days","&gt;30 days")))</f>
        <v>8-30 days</v>
      </c>
    </row>
    <row r="764" customFormat="false" ht="15" hidden="false" customHeight="false" outlineLevel="0" collapsed="false">
      <c r="A764" s="12" t="s">
        <v>1005</v>
      </c>
      <c r="B764" s="12" t="n">
        <v>61</v>
      </c>
      <c r="C764" s="12" t="s">
        <v>34</v>
      </c>
      <c r="D764" s="12" t="s">
        <v>35</v>
      </c>
      <c r="E764" s="12" t="s">
        <v>239</v>
      </c>
      <c r="F764" s="12" t="s">
        <v>62</v>
      </c>
      <c r="G764" s="12" t="s">
        <v>53</v>
      </c>
      <c r="H764" s="12" t="s">
        <v>39</v>
      </c>
      <c r="I764" s="12" t="n">
        <v>29</v>
      </c>
      <c r="J764" s="12" t="s">
        <v>169</v>
      </c>
      <c r="K764" s="12" t="s">
        <v>48</v>
      </c>
      <c r="L764" s="12" t="str">
        <f aca="false">IF(OR(H764="Severe",H764="Life-Threatening"),"Yes","No")</f>
        <v>No</v>
      </c>
      <c r="M764" s="12" t="str">
        <f aca="false">IF(B764&lt;18,"0-17",IF(B764&lt;40,"18-39",IF(B764&lt;60,"40-59","60+")))</f>
        <v>60+</v>
      </c>
      <c r="N764" s="12" t="str">
        <f aca="false">IF(I764&lt;=1,"0-1 days",IF(I764&lt;=7,"2-7 days",IF(I764&lt;=30,"8-30 days","&gt;30 days")))</f>
        <v>8-30 days</v>
      </c>
    </row>
    <row r="765" customFormat="false" ht="15" hidden="false" customHeight="false" outlineLevel="0" collapsed="false">
      <c r="A765" s="12" t="s">
        <v>1006</v>
      </c>
      <c r="B765" s="12" t="n">
        <v>50</v>
      </c>
      <c r="C765" s="12" t="s">
        <v>34</v>
      </c>
      <c r="D765" s="12" t="s">
        <v>88</v>
      </c>
      <c r="E765" s="12" t="s">
        <v>227</v>
      </c>
      <c r="F765" s="12" t="s">
        <v>264</v>
      </c>
      <c r="G765" s="12" t="s">
        <v>104</v>
      </c>
      <c r="H765" s="12" t="s">
        <v>76</v>
      </c>
      <c r="I765" s="12" t="n">
        <v>17</v>
      </c>
      <c r="J765" s="12" t="s">
        <v>40</v>
      </c>
      <c r="K765" s="12" t="s">
        <v>63</v>
      </c>
      <c r="L765" s="12" t="str">
        <f aca="false">IF(OR(H765="Severe",H765="Life-Threatening"),"Yes","No")</f>
        <v>Yes</v>
      </c>
      <c r="M765" s="12" t="str">
        <f aca="false">IF(B765&lt;18,"0-17",IF(B765&lt;40,"18-39",IF(B765&lt;60,"40-59","60+")))</f>
        <v>40-59</v>
      </c>
      <c r="N765" s="12" t="str">
        <f aca="false">IF(I765&lt;=1,"0-1 days",IF(I765&lt;=7,"2-7 days",IF(I765&lt;=30,"8-30 days","&gt;30 days")))</f>
        <v>8-30 days</v>
      </c>
    </row>
    <row r="766" customFormat="false" ht="15" hidden="false" customHeight="false" outlineLevel="0" collapsed="false">
      <c r="A766" s="12" t="s">
        <v>1007</v>
      </c>
      <c r="B766" s="12" t="n">
        <v>88</v>
      </c>
      <c r="C766" s="12" t="s">
        <v>34</v>
      </c>
      <c r="D766" s="12" t="s">
        <v>69</v>
      </c>
      <c r="E766" s="12" t="s">
        <v>369</v>
      </c>
      <c r="F766" s="12" t="s">
        <v>62</v>
      </c>
      <c r="G766" s="12" t="s">
        <v>53</v>
      </c>
      <c r="H766" s="12" t="s">
        <v>39</v>
      </c>
      <c r="I766" s="12" t="n">
        <v>6</v>
      </c>
      <c r="J766" s="12" t="s">
        <v>169</v>
      </c>
      <c r="K766" s="12" t="s">
        <v>147</v>
      </c>
      <c r="L766" s="12" t="str">
        <f aca="false">IF(OR(H766="Severe",H766="Life-Threatening"),"Yes","No")</f>
        <v>No</v>
      </c>
      <c r="M766" s="12" t="str">
        <f aca="false">IF(B766&lt;18,"0-17",IF(B766&lt;40,"18-39",IF(B766&lt;60,"40-59","60+")))</f>
        <v>60+</v>
      </c>
      <c r="N766" s="12" t="str">
        <f aca="false">IF(I766&lt;=1,"0-1 days",IF(I766&lt;=7,"2-7 days",IF(I766&lt;=30,"8-30 days","&gt;30 days")))</f>
        <v>2-7 days</v>
      </c>
    </row>
    <row r="767" customFormat="false" ht="15" hidden="false" customHeight="false" outlineLevel="0" collapsed="false">
      <c r="A767" s="12" t="s">
        <v>1008</v>
      </c>
      <c r="B767" s="12" t="n">
        <v>55</v>
      </c>
      <c r="C767" s="12" t="s">
        <v>43</v>
      </c>
      <c r="D767" s="12" t="s">
        <v>245</v>
      </c>
      <c r="E767" s="12" t="s">
        <v>268</v>
      </c>
      <c r="F767" s="12" t="s">
        <v>364</v>
      </c>
      <c r="G767" s="12" t="s">
        <v>38</v>
      </c>
      <c r="H767" s="12" t="s">
        <v>39</v>
      </c>
      <c r="I767" s="12" t="n">
        <v>24</v>
      </c>
      <c r="J767" s="12" t="s">
        <v>40</v>
      </c>
      <c r="K767" s="12" t="s">
        <v>63</v>
      </c>
      <c r="L767" s="12" t="str">
        <f aca="false">IF(OR(H767="Severe",H767="Life-Threatening"),"Yes","No")</f>
        <v>No</v>
      </c>
      <c r="M767" s="12" t="str">
        <f aca="false">IF(B767&lt;18,"0-17",IF(B767&lt;40,"18-39",IF(B767&lt;60,"40-59","60+")))</f>
        <v>40-59</v>
      </c>
      <c r="N767" s="12" t="str">
        <f aca="false">IF(I767&lt;=1,"0-1 days",IF(I767&lt;=7,"2-7 days",IF(I767&lt;=30,"8-30 days","&gt;30 days")))</f>
        <v>8-30 days</v>
      </c>
    </row>
    <row r="768" customFormat="false" ht="15" hidden="false" customHeight="false" outlineLevel="0" collapsed="false">
      <c r="A768" s="12" t="s">
        <v>1009</v>
      </c>
      <c r="B768" s="12" t="n">
        <v>45</v>
      </c>
      <c r="C768" s="12" t="s">
        <v>34</v>
      </c>
      <c r="D768" s="12" t="s">
        <v>112</v>
      </c>
      <c r="E768" s="12" t="s">
        <v>398</v>
      </c>
      <c r="F768" s="12" t="s">
        <v>364</v>
      </c>
      <c r="G768" s="12" t="s">
        <v>38</v>
      </c>
      <c r="H768" s="12" t="s">
        <v>39</v>
      </c>
      <c r="I768" s="12" t="n">
        <v>21</v>
      </c>
      <c r="J768" s="12" t="s">
        <v>40</v>
      </c>
      <c r="K768" s="12" t="s">
        <v>63</v>
      </c>
      <c r="L768" s="12" t="str">
        <f aca="false">IF(OR(H768="Severe",H768="Life-Threatening"),"Yes","No")</f>
        <v>No</v>
      </c>
      <c r="M768" s="12" t="str">
        <f aca="false">IF(B768&lt;18,"0-17",IF(B768&lt;40,"18-39",IF(B768&lt;60,"40-59","60+")))</f>
        <v>40-59</v>
      </c>
      <c r="N768" s="12" t="str">
        <f aca="false">IF(I768&lt;=1,"0-1 days",IF(I768&lt;=7,"2-7 days",IF(I768&lt;=30,"8-30 days","&gt;30 days")))</f>
        <v>8-30 days</v>
      </c>
    </row>
    <row r="769" customFormat="false" ht="15" hidden="false" customHeight="false" outlineLevel="0" collapsed="false">
      <c r="A769" s="12" t="s">
        <v>1010</v>
      </c>
      <c r="B769" s="12" t="n">
        <v>31</v>
      </c>
      <c r="C769" s="12" t="s">
        <v>43</v>
      </c>
      <c r="D769" s="12" t="s">
        <v>196</v>
      </c>
      <c r="E769" s="12" t="s">
        <v>141</v>
      </c>
      <c r="F769" s="12" t="s">
        <v>142</v>
      </c>
      <c r="G769" s="12" t="s">
        <v>38</v>
      </c>
      <c r="H769" s="12" t="s">
        <v>46</v>
      </c>
      <c r="I769" s="12" t="n">
        <v>3</v>
      </c>
      <c r="J769" s="12" t="s">
        <v>40</v>
      </c>
      <c r="K769" s="12" t="s">
        <v>48</v>
      </c>
      <c r="L769" s="12" t="str">
        <f aca="false">IF(OR(H769="Severe",H769="Life-Threatening"),"Yes","No")</f>
        <v>No</v>
      </c>
      <c r="M769" s="12" t="str">
        <f aca="false">IF(B769&lt;18,"0-17",IF(B769&lt;40,"18-39",IF(B769&lt;60,"40-59","60+")))</f>
        <v>18-39</v>
      </c>
      <c r="N769" s="12" t="str">
        <f aca="false">IF(I769&lt;=1,"0-1 days",IF(I769&lt;=7,"2-7 days",IF(I769&lt;=30,"8-30 days","&gt;30 days")))</f>
        <v>2-7 days</v>
      </c>
    </row>
    <row r="770" customFormat="false" ht="15" hidden="false" customHeight="false" outlineLevel="0" collapsed="false">
      <c r="A770" s="12" t="s">
        <v>1011</v>
      </c>
      <c r="B770" s="12" t="n">
        <v>57</v>
      </c>
      <c r="C770" s="12" t="s">
        <v>43</v>
      </c>
      <c r="D770" s="12" t="s">
        <v>117</v>
      </c>
      <c r="E770" s="12" t="s">
        <v>383</v>
      </c>
      <c r="F770" s="12" t="s">
        <v>139</v>
      </c>
      <c r="G770" s="12" t="s">
        <v>38</v>
      </c>
      <c r="H770" s="12" t="s">
        <v>46</v>
      </c>
      <c r="I770" s="12" t="n">
        <v>28</v>
      </c>
      <c r="J770" s="12" t="s">
        <v>40</v>
      </c>
      <c r="K770" s="12" t="s">
        <v>63</v>
      </c>
      <c r="L770" s="12" t="str">
        <f aca="false">IF(OR(H770="Severe",H770="Life-Threatening"),"Yes","No")</f>
        <v>No</v>
      </c>
      <c r="M770" s="12" t="str">
        <f aca="false">IF(B770&lt;18,"0-17",IF(B770&lt;40,"18-39",IF(B770&lt;60,"40-59","60+")))</f>
        <v>40-59</v>
      </c>
      <c r="N770" s="12" t="str">
        <f aca="false">IF(I770&lt;=1,"0-1 days",IF(I770&lt;=7,"2-7 days",IF(I770&lt;=30,"8-30 days","&gt;30 days")))</f>
        <v>8-30 days</v>
      </c>
    </row>
    <row r="771" customFormat="false" ht="15" hidden="false" customHeight="false" outlineLevel="0" collapsed="false">
      <c r="A771" s="12" t="s">
        <v>1012</v>
      </c>
      <c r="B771" s="12" t="n">
        <v>46</v>
      </c>
      <c r="C771" s="12" t="s">
        <v>34</v>
      </c>
      <c r="D771" s="12" t="s">
        <v>35</v>
      </c>
      <c r="E771" s="12" t="s">
        <v>36</v>
      </c>
      <c r="F771" s="12" t="s">
        <v>364</v>
      </c>
      <c r="G771" s="12" t="s">
        <v>38</v>
      </c>
      <c r="H771" s="12" t="s">
        <v>76</v>
      </c>
      <c r="I771" s="12" t="n">
        <v>14</v>
      </c>
      <c r="J771" s="12" t="s">
        <v>40</v>
      </c>
      <c r="K771" s="12" t="s">
        <v>63</v>
      </c>
      <c r="L771" s="12" t="str">
        <f aca="false">IF(OR(H771="Severe",H771="Life-Threatening"),"Yes","No")</f>
        <v>Yes</v>
      </c>
      <c r="M771" s="12" t="str">
        <f aca="false">IF(B771&lt;18,"0-17",IF(B771&lt;40,"18-39",IF(B771&lt;60,"40-59","60+")))</f>
        <v>40-59</v>
      </c>
      <c r="N771" s="12" t="str">
        <f aca="false">IF(I771&lt;=1,"0-1 days",IF(I771&lt;=7,"2-7 days",IF(I771&lt;=30,"8-30 days","&gt;30 days")))</f>
        <v>8-30 days</v>
      </c>
    </row>
    <row r="772" customFormat="false" ht="15" hidden="false" customHeight="false" outlineLevel="0" collapsed="false">
      <c r="A772" s="12" t="s">
        <v>1013</v>
      </c>
      <c r="B772" s="12" t="n">
        <v>63</v>
      </c>
      <c r="C772" s="12" t="s">
        <v>34</v>
      </c>
      <c r="D772" s="12" t="s">
        <v>155</v>
      </c>
      <c r="E772" s="12" t="s">
        <v>227</v>
      </c>
      <c r="F772" s="12" t="s">
        <v>214</v>
      </c>
      <c r="G772" s="12" t="s">
        <v>115</v>
      </c>
      <c r="H772" s="12" t="s">
        <v>39</v>
      </c>
      <c r="I772" s="12" t="n">
        <v>26</v>
      </c>
      <c r="J772" s="12" t="s">
        <v>47</v>
      </c>
      <c r="K772" s="12" t="s">
        <v>48</v>
      </c>
      <c r="L772" s="12" t="str">
        <f aca="false">IF(OR(H772="Severe",H772="Life-Threatening"),"Yes","No")</f>
        <v>No</v>
      </c>
      <c r="M772" s="12" t="str">
        <f aca="false">IF(B772&lt;18,"0-17",IF(B772&lt;40,"18-39",IF(B772&lt;60,"40-59","60+")))</f>
        <v>60+</v>
      </c>
      <c r="N772" s="12" t="str">
        <f aca="false">IF(I772&lt;=1,"0-1 days",IF(I772&lt;=7,"2-7 days",IF(I772&lt;=30,"8-30 days","&gt;30 days")))</f>
        <v>8-30 days</v>
      </c>
    </row>
    <row r="773" customFormat="false" ht="15" hidden="false" customHeight="false" outlineLevel="0" collapsed="false">
      <c r="A773" s="12" t="s">
        <v>1014</v>
      </c>
      <c r="B773" s="12" t="n">
        <v>8</v>
      </c>
      <c r="C773" s="12" t="s">
        <v>43</v>
      </c>
      <c r="D773" s="12" t="s">
        <v>168</v>
      </c>
      <c r="E773" s="12" t="s">
        <v>321</v>
      </c>
      <c r="F773" s="12" t="s">
        <v>142</v>
      </c>
      <c r="G773" s="12" t="s">
        <v>38</v>
      </c>
      <c r="H773" s="12" t="s">
        <v>46</v>
      </c>
      <c r="I773" s="12" t="n">
        <v>18</v>
      </c>
      <c r="J773" s="12" t="s">
        <v>40</v>
      </c>
      <c r="K773" s="12" t="s">
        <v>48</v>
      </c>
      <c r="L773" s="12" t="str">
        <f aca="false">IF(OR(H773="Severe",H773="Life-Threatening"),"Yes","No")</f>
        <v>No</v>
      </c>
      <c r="M773" s="12" t="str">
        <f aca="false">IF(B773&lt;18,"0-17",IF(B773&lt;40,"18-39",IF(B773&lt;60,"40-59","60+")))</f>
        <v>0-17</v>
      </c>
      <c r="N773" s="12" t="str">
        <f aca="false">IF(I773&lt;=1,"0-1 days",IF(I773&lt;=7,"2-7 days",IF(I773&lt;=30,"8-30 days","&gt;30 days")))</f>
        <v>8-30 days</v>
      </c>
    </row>
    <row r="774" customFormat="false" ht="15" hidden="false" customHeight="false" outlineLevel="0" collapsed="false">
      <c r="A774" s="12" t="s">
        <v>1015</v>
      </c>
      <c r="B774" s="12" t="n">
        <v>63</v>
      </c>
      <c r="C774" s="12" t="s">
        <v>34</v>
      </c>
      <c r="D774" s="12" t="s">
        <v>581</v>
      </c>
      <c r="E774" s="12" t="s">
        <v>227</v>
      </c>
      <c r="F774" s="12" t="s">
        <v>214</v>
      </c>
      <c r="G774" s="12" t="s">
        <v>115</v>
      </c>
      <c r="H774" s="12" t="s">
        <v>46</v>
      </c>
      <c r="I774" s="12" t="n">
        <v>1</v>
      </c>
      <c r="J774" s="12" t="s">
        <v>47</v>
      </c>
      <c r="K774" s="12" t="s">
        <v>48</v>
      </c>
      <c r="L774" s="12" t="str">
        <f aca="false">IF(OR(H774="Severe",H774="Life-Threatening"),"Yes","No")</f>
        <v>No</v>
      </c>
      <c r="M774" s="12" t="str">
        <f aca="false">IF(B774&lt;18,"0-17",IF(B774&lt;40,"18-39",IF(B774&lt;60,"40-59","60+")))</f>
        <v>60+</v>
      </c>
      <c r="N774" s="12" t="str">
        <f aca="false">IF(I774&lt;=1,"0-1 days",IF(I774&lt;=7,"2-7 days",IF(I774&lt;=30,"8-30 days","&gt;30 days")))</f>
        <v>0-1 days</v>
      </c>
    </row>
    <row r="775" customFormat="false" ht="15" hidden="false" customHeight="false" outlineLevel="0" collapsed="false">
      <c r="A775" s="12" t="s">
        <v>1016</v>
      </c>
      <c r="B775" s="12" t="n">
        <v>81</v>
      </c>
      <c r="C775" s="12" t="s">
        <v>43</v>
      </c>
      <c r="D775" s="12" t="s">
        <v>35</v>
      </c>
      <c r="E775" s="12" t="s">
        <v>315</v>
      </c>
      <c r="F775" s="12" t="s">
        <v>176</v>
      </c>
      <c r="G775" s="12" t="s">
        <v>177</v>
      </c>
      <c r="H775" s="12" t="s">
        <v>39</v>
      </c>
      <c r="I775" s="12" t="n">
        <v>30</v>
      </c>
      <c r="J775" s="12" t="s">
        <v>169</v>
      </c>
      <c r="K775" s="12" t="s">
        <v>41</v>
      </c>
      <c r="L775" s="12" t="str">
        <f aca="false">IF(OR(H775="Severe",H775="Life-Threatening"),"Yes","No")</f>
        <v>No</v>
      </c>
      <c r="M775" s="12" t="str">
        <f aca="false">IF(B775&lt;18,"0-17",IF(B775&lt;40,"18-39",IF(B775&lt;60,"40-59","60+")))</f>
        <v>60+</v>
      </c>
      <c r="N775" s="12" t="str">
        <f aca="false">IF(I775&lt;=1,"0-1 days",IF(I775&lt;=7,"2-7 days",IF(I775&lt;=30,"8-30 days","&gt;30 days")))</f>
        <v>8-30 days</v>
      </c>
    </row>
    <row r="776" customFormat="false" ht="15" hidden="false" customHeight="false" outlineLevel="0" collapsed="false">
      <c r="A776" s="12" t="s">
        <v>1017</v>
      </c>
      <c r="B776" s="12" t="n">
        <v>40</v>
      </c>
      <c r="C776" s="12" t="s">
        <v>34</v>
      </c>
      <c r="D776" s="12" t="s">
        <v>155</v>
      </c>
      <c r="E776" s="12" t="s">
        <v>315</v>
      </c>
      <c r="F776" s="12" t="s">
        <v>176</v>
      </c>
      <c r="G776" s="12" t="s">
        <v>177</v>
      </c>
      <c r="H776" s="12" t="s">
        <v>46</v>
      </c>
      <c r="I776" s="12" t="n">
        <v>14</v>
      </c>
      <c r="J776" s="12" t="s">
        <v>40</v>
      </c>
      <c r="K776" s="12" t="s">
        <v>48</v>
      </c>
      <c r="L776" s="12" t="str">
        <f aca="false">IF(OR(H776="Severe",H776="Life-Threatening"),"Yes","No")</f>
        <v>No</v>
      </c>
      <c r="M776" s="12" t="str">
        <f aca="false">IF(B776&lt;18,"0-17",IF(B776&lt;40,"18-39",IF(B776&lt;60,"40-59","60+")))</f>
        <v>40-59</v>
      </c>
      <c r="N776" s="12" t="str">
        <f aca="false">IF(I776&lt;=1,"0-1 days",IF(I776&lt;=7,"2-7 days",IF(I776&lt;=30,"8-30 days","&gt;30 days")))</f>
        <v>8-30 days</v>
      </c>
    </row>
    <row r="777" customFormat="false" ht="15" hidden="false" customHeight="false" outlineLevel="0" collapsed="false">
      <c r="A777" s="12" t="s">
        <v>1018</v>
      </c>
      <c r="B777" s="12" t="n">
        <v>62</v>
      </c>
      <c r="C777" s="12" t="s">
        <v>43</v>
      </c>
      <c r="D777" s="12" t="s">
        <v>155</v>
      </c>
      <c r="E777" s="12" t="s">
        <v>383</v>
      </c>
      <c r="F777" s="12" t="s">
        <v>235</v>
      </c>
      <c r="G777" s="12" t="s">
        <v>53</v>
      </c>
      <c r="H777" s="12" t="s">
        <v>46</v>
      </c>
      <c r="I777" s="12" t="n">
        <v>23</v>
      </c>
      <c r="J777" s="12" t="s">
        <v>40</v>
      </c>
      <c r="K777" s="12" t="s">
        <v>48</v>
      </c>
      <c r="L777" s="12" t="str">
        <f aca="false">IF(OR(H777="Severe",H777="Life-Threatening"),"Yes","No")</f>
        <v>No</v>
      </c>
      <c r="M777" s="12" t="str">
        <f aca="false">IF(B777&lt;18,"0-17",IF(B777&lt;40,"18-39",IF(B777&lt;60,"40-59","60+")))</f>
        <v>60+</v>
      </c>
      <c r="N777" s="12" t="str">
        <f aca="false">IF(I777&lt;=1,"0-1 days",IF(I777&lt;=7,"2-7 days",IF(I777&lt;=30,"8-30 days","&gt;30 days")))</f>
        <v>8-30 days</v>
      </c>
    </row>
    <row r="778" customFormat="false" ht="15" hidden="false" customHeight="false" outlineLevel="0" collapsed="false">
      <c r="A778" s="12" t="s">
        <v>1019</v>
      </c>
      <c r="B778" s="12" t="n">
        <v>25</v>
      </c>
      <c r="C778" s="12" t="s">
        <v>43</v>
      </c>
      <c r="D778" s="12" t="s">
        <v>69</v>
      </c>
      <c r="E778" s="12" t="s">
        <v>110</v>
      </c>
      <c r="F778" s="12" t="s">
        <v>322</v>
      </c>
      <c r="G778" s="12" t="s">
        <v>53</v>
      </c>
      <c r="H778" s="12" t="s">
        <v>39</v>
      </c>
      <c r="I778" s="12" t="n">
        <v>9</v>
      </c>
      <c r="J778" s="12" t="s">
        <v>169</v>
      </c>
      <c r="K778" s="12" t="s">
        <v>48</v>
      </c>
      <c r="L778" s="12" t="str">
        <f aca="false">IF(OR(H778="Severe",H778="Life-Threatening"),"Yes","No")</f>
        <v>No</v>
      </c>
      <c r="M778" s="12" t="str">
        <f aca="false">IF(B778&lt;18,"0-17",IF(B778&lt;40,"18-39",IF(B778&lt;60,"40-59","60+")))</f>
        <v>18-39</v>
      </c>
      <c r="N778" s="12" t="str">
        <f aca="false">IF(I778&lt;=1,"0-1 days",IF(I778&lt;=7,"2-7 days",IF(I778&lt;=30,"8-30 days","&gt;30 days")))</f>
        <v>8-30 days</v>
      </c>
    </row>
    <row r="779" customFormat="false" ht="15" hidden="false" customHeight="false" outlineLevel="0" collapsed="false">
      <c r="A779" s="12" t="s">
        <v>1020</v>
      </c>
      <c r="B779" s="12" t="n">
        <v>37</v>
      </c>
      <c r="C779" s="12" t="s">
        <v>43</v>
      </c>
      <c r="D779" s="12" t="s">
        <v>85</v>
      </c>
      <c r="E779" s="12" t="s">
        <v>321</v>
      </c>
      <c r="F779" s="12" t="s">
        <v>322</v>
      </c>
      <c r="G779" s="12" t="s">
        <v>53</v>
      </c>
      <c r="H779" s="12" t="s">
        <v>39</v>
      </c>
      <c r="I779" s="12" t="n">
        <v>16</v>
      </c>
      <c r="J779" s="12" t="s">
        <v>40</v>
      </c>
      <c r="K779" s="12" t="s">
        <v>63</v>
      </c>
      <c r="L779" s="12" t="str">
        <f aca="false">IF(OR(H779="Severe",H779="Life-Threatening"),"Yes","No")</f>
        <v>No</v>
      </c>
      <c r="M779" s="12" t="str">
        <f aca="false">IF(B779&lt;18,"0-17",IF(B779&lt;40,"18-39",IF(B779&lt;60,"40-59","60+")))</f>
        <v>18-39</v>
      </c>
      <c r="N779" s="12" t="str">
        <f aca="false">IF(I779&lt;=1,"0-1 days",IF(I779&lt;=7,"2-7 days",IF(I779&lt;=30,"8-30 days","&gt;30 days")))</f>
        <v>8-30 days</v>
      </c>
    </row>
    <row r="780" customFormat="false" ht="15" hidden="false" customHeight="false" outlineLevel="0" collapsed="false">
      <c r="A780" s="12" t="s">
        <v>1021</v>
      </c>
      <c r="B780" s="12" t="n">
        <v>72</v>
      </c>
      <c r="C780" s="12" t="s">
        <v>43</v>
      </c>
      <c r="D780" s="12" t="s">
        <v>35</v>
      </c>
      <c r="E780" s="12" t="s">
        <v>261</v>
      </c>
      <c r="F780" s="12" t="s">
        <v>221</v>
      </c>
      <c r="G780" s="12" t="s">
        <v>94</v>
      </c>
      <c r="H780" s="12" t="s">
        <v>39</v>
      </c>
      <c r="I780" s="12" t="n">
        <v>0</v>
      </c>
      <c r="J780" s="12" t="s">
        <v>40</v>
      </c>
      <c r="K780" s="12" t="s">
        <v>63</v>
      </c>
      <c r="L780" s="12" t="str">
        <f aca="false">IF(OR(H780="Severe",H780="Life-Threatening"),"Yes","No")</f>
        <v>No</v>
      </c>
      <c r="M780" s="12" t="str">
        <f aca="false">IF(B780&lt;18,"0-17",IF(B780&lt;40,"18-39",IF(B780&lt;60,"40-59","60+")))</f>
        <v>60+</v>
      </c>
      <c r="N780" s="12" t="str">
        <f aca="false">IF(I780&lt;=1,"0-1 days",IF(I780&lt;=7,"2-7 days",IF(I780&lt;=30,"8-30 days","&gt;30 days")))</f>
        <v>0-1 days</v>
      </c>
    </row>
    <row r="781" customFormat="false" ht="15" hidden="false" customHeight="false" outlineLevel="0" collapsed="false">
      <c r="A781" s="12" t="s">
        <v>1022</v>
      </c>
      <c r="B781" s="12" t="n">
        <v>61</v>
      </c>
      <c r="C781" s="12" t="s">
        <v>43</v>
      </c>
      <c r="D781" s="12" t="s">
        <v>69</v>
      </c>
      <c r="E781" s="12" t="s">
        <v>243</v>
      </c>
      <c r="F781" s="12" t="s">
        <v>348</v>
      </c>
      <c r="G781" s="12" t="s">
        <v>94</v>
      </c>
      <c r="H781" s="12" t="s">
        <v>76</v>
      </c>
      <c r="I781" s="12" t="n">
        <v>7</v>
      </c>
      <c r="J781" s="12" t="s">
        <v>105</v>
      </c>
      <c r="K781" s="12" t="s">
        <v>48</v>
      </c>
      <c r="L781" s="12" t="str">
        <f aca="false">IF(OR(H781="Severe",H781="Life-Threatening"),"Yes","No")</f>
        <v>Yes</v>
      </c>
      <c r="M781" s="12" t="str">
        <f aca="false">IF(B781&lt;18,"0-17",IF(B781&lt;40,"18-39",IF(B781&lt;60,"40-59","60+")))</f>
        <v>60+</v>
      </c>
      <c r="N781" s="12" t="str">
        <f aca="false">IF(I781&lt;=1,"0-1 days",IF(I781&lt;=7,"2-7 days",IF(I781&lt;=30,"8-30 days","&gt;30 days")))</f>
        <v>2-7 days</v>
      </c>
    </row>
    <row r="782" customFormat="false" ht="15" hidden="false" customHeight="false" outlineLevel="0" collapsed="false">
      <c r="A782" s="12" t="s">
        <v>1023</v>
      </c>
      <c r="B782" s="12" t="n">
        <v>26</v>
      </c>
      <c r="C782" s="12" t="s">
        <v>43</v>
      </c>
      <c r="D782" s="12" t="s">
        <v>163</v>
      </c>
      <c r="E782" s="12" t="s">
        <v>173</v>
      </c>
      <c r="F782" s="12" t="s">
        <v>131</v>
      </c>
      <c r="G782" s="12" t="s">
        <v>94</v>
      </c>
      <c r="H782" s="12" t="s">
        <v>76</v>
      </c>
      <c r="I782" s="12" t="n">
        <v>17</v>
      </c>
      <c r="J782" s="12" t="s">
        <v>40</v>
      </c>
      <c r="K782" s="12" t="s">
        <v>41</v>
      </c>
      <c r="L782" s="12" t="str">
        <f aca="false">IF(OR(H782="Severe",H782="Life-Threatening"),"Yes","No")</f>
        <v>Yes</v>
      </c>
      <c r="M782" s="12" t="str">
        <f aca="false">IF(B782&lt;18,"0-17",IF(B782&lt;40,"18-39",IF(B782&lt;60,"40-59","60+")))</f>
        <v>18-39</v>
      </c>
      <c r="N782" s="12" t="str">
        <f aca="false">IF(I782&lt;=1,"0-1 days",IF(I782&lt;=7,"2-7 days",IF(I782&lt;=30,"8-30 days","&gt;30 days")))</f>
        <v>8-30 days</v>
      </c>
    </row>
    <row r="783" customFormat="false" ht="15" hidden="false" customHeight="false" outlineLevel="0" collapsed="false">
      <c r="A783" s="12" t="s">
        <v>1024</v>
      </c>
      <c r="B783" s="12" t="n">
        <v>50</v>
      </c>
      <c r="C783" s="12" t="s">
        <v>43</v>
      </c>
      <c r="D783" s="12" t="s">
        <v>35</v>
      </c>
      <c r="E783" s="12" t="s">
        <v>307</v>
      </c>
      <c r="F783" s="12" t="s">
        <v>249</v>
      </c>
      <c r="G783" s="12" t="s">
        <v>152</v>
      </c>
      <c r="H783" s="12" t="s">
        <v>46</v>
      </c>
      <c r="I783" s="12" t="n">
        <v>21</v>
      </c>
      <c r="J783" s="12" t="s">
        <v>169</v>
      </c>
      <c r="K783" s="12" t="s">
        <v>63</v>
      </c>
      <c r="L783" s="12" t="str">
        <f aca="false">IF(OR(H783="Severe",H783="Life-Threatening"),"Yes","No")</f>
        <v>No</v>
      </c>
      <c r="M783" s="12" t="str">
        <f aca="false">IF(B783&lt;18,"0-17",IF(B783&lt;40,"18-39",IF(B783&lt;60,"40-59","60+")))</f>
        <v>40-59</v>
      </c>
      <c r="N783" s="12" t="str">
        <f aca="false">IF(I783&lt;=1,"0-1 days",IF(I783&lt;=7,"2-7 days",IF(I783&lt;=30,"8-30 days","&gt;30 days")))</f>
        <v>8-30 days</v>
      </c>
    </row>
    <row r="784" customFormat="false" ht="15" hidden="false" customHeight="false" outlineLevel="0" collapsed="false">
      <c r="A784" s="12" t="s">
        <v>1025</v>
      </c>
      <c r="B784" s="12" t="n">
        <v>35</v>
      </c>
      <c r="C784" s="12" t="s">
        <v>43</v>
      </c>
      <c r="D784" s="12" t="s">
        <v>85</v>
      </c>
      <c r="E784" s="12" t="s">
        <v>268</v>
      </c>
      <c r="F784" s="12" t="s">
        <v>269</v>
      </c>
      <c r="G784" s="12" t="s">
        <v>38</v>
      </c>
      <c r="H784" s="12" t="s">
        <v>39</v>
      </c>
      <c r="I784" s="12" t="n">
        <v>9</v>
      </c>
      <c r="J784" s="12" t="s">
        <v>40</v>
      </c>
      <c r="K784" s="12" t="s">
        <v>147</v>
      </c>
      <c r="L784" s="12" t="str">
        <f aca="false">IF(OR(H784="Severe",H784="Life-Threatening"),"Yes","No")</f>
        <v>No</v>
      </c>
      <c r="M784" s="12" t="str">
        <f aca="false">IF(B784&lt;18,"0-17",IF(B784&lt;40,"18-39",IF(B784&lt;60,"40-59","60+")))</f>
        <v>18-39</v>
      </c>
      <c r="N784" s="12" t="str">
        <f aca="false">IF(I784&lt;=1,"0-1 days",IF(I784&lt;=7,"2-7 days",IF(I784&lt;=30,"8-30 days","&gt;30 days")))</f>
        <v>8-30 days</v>
      </c>
    </row>
    <row r="785" customFormat="false" ht="15" hidden="false" customHeight="false" outlineLevel="0" collapsed="false">
      <c r="A785" s="12" t="s">
        <v>1026</v>
      </c>
      <c r="B785" s="12" t="n">
        <v>63</v>
      </c>
      <c r="C785" s="12" t="s">
        <v>43</v>
      </c>
      <c r="D785" s="12" t="s">
        <v>194</v>
      </c>
      <c r="E785" s="12" t="s">
        <v>121</v>
      </c>
      <c r="F785" s="12" t="s">
        <v>565</v>
      </c>
      <c r="G785" s="12" t="s">
        <v>115</v>
      </c>
      <c r="H785" s="12" t="s">
        <v>46</v>
      </c>
      <c r="I785" s="12" t="n">
        <v>3</v>
      </c>
      <c r="J785" s="12" t="s">
        <v>40</v>
      </c>
      <c r="K785" s="12" t="s">
        <v>48</v>
      </c>
      <c r="L785" s="12" t="str">
        <f aca="false">IF(OR(H785="Severe",H785="Life-Threatening"),"Yes","No")</f>
        <v>No</v>
      </c>
      <c r="M785" s="12" t="str">
        <f aca="false">IF(B785&lt;18,"0-17",IF(B785&lt;40,"18-39",IF(B785&lt;60,"40-59","60+")))</f>
        <v>60+</v>
      </c>
      <c r="N785" s="12" t="str">
        <f aca="false">IF(I785&lt;=1,"0-1 days",IF(I785&lt;=7,"2-7 days",IF(I785&lt;=30,"8-30 days","&gt;30 days")))</f>
        <v>2-7 days</v>
      </c>
    </row>
    <row r="786" customFormat="false" ht="15" hidden="false" customHeight="false" outlineLevel="0" collapsed="false">
      <c r="A786" s="12" t="s">
        <v>1027</v>
      </c>
      <c r="B786" s="12" t="n">
        <v>42</v>
      </c>
      <c r="C786" s="12" t="s">
        <v>43</v>
      </c>
      <c r="D786" s="12" t="s">
        <v>82</v>
      </c>
      <c r="E786" s="12" t="s">
        <v>121</v>
      </c>
      <c r="F786" s="12" t="s">
        <v>45</v>
      </c>
      <c r="G786" s="12" t="s">
        <v>38</v>
      </c>
      <c r="H786" s="12" t="s">
        <v>46</v>
      </c>
      <c r="I786" s="12" t="n">
        <v>22</v>
      </c>
      <c r="J786" s="12" t="s">
        <v>40</v>
      </c>
      <c r="K786" s="12" t="s">
        <v>48</v>
      </c>
      <c r="L786" s="12" t="str">
        <f aca="false">IF(OR(H786="Severe",H786="Life-Threatening"),"Yes","No")</f>
        <v>No</v>
      </c>
      <c r="M786" s="12" t="str">
        <f aca="false">IF(B786&lt;18,"0-17",IF(B786&lt;40,"18-39",IF(B786&lt;60,"40-59","60+")))</f>
        <v>40-59</v>
      </c>
      <c r="N786" s="12" t="str">
        <f aca="false">IF(I786&lt;=1,"0-1 days",IF(I786&lt;=7,"2-7 days",IF(I786&lt;=30,"8-30 days","&gt;30 days")))</f>
        <v>8-30 days</v>
      </c>
    </row>
    <row r="787" customFormat="false" ht="15" hidden="false" customHeight="false" outlineLevel="0" collapsed="false">
      <c r="A787" s="12" t="s">
        <v>1028</v>
      </c>
      <c r="B787" s="12" t="n">
        <v>45</v>
      </c>
      <c r="C787" s="12" t="s">
        <v>43</v>
      </c>
      <c r="D787" s="12" t="s">
        <v>55</v>
      </c>
      <c r="E787" s="12" t="s">
        <v>241</v>
      </c>
      <c r="F787" s="12" t="s">
        <v>135</v>
      </c>
      <c r="G787" s="12" t="s">
        <v>136</v>
      </c>
      <c r="H787" s="12" t="s">
        <v>39</v>
      </c>
      <c r="I787" s="12" t="n">
        <v>20</v>
      </c>
      <c r="J787" s="12" t="s">
        <v>169</v>
      </c>
      <c r="K787" s="12" t="s">
        <v>48</v>
      </c>
      <c r="L787" s="12" t="str">
        <f aca="false">IF(OR(H787="Severe",H787="Life-Threatening"),"Yes","No")</f>
        <v>No</v>
      </c>
      <c r="M787" s="12" t="str">
        <f aca="false">IF(B787&lt;18,"0-17",IF(B787&lt;40,"18-39",IF(B787&lt;60,"40-59","60+")))</f>
        <v>40-59</v>
      </c>
      <c r="N787" s="12" t="str">
        <f aca="false">IF(I787&lt;=1,"0-1 days",IF(I787&lt;=7,"2-7 days",IF(I787&lt;=30,"8-30 days","&gt;30 days")))</f>
        <v>8-30 days</v>
      </c>
    </row>
    <row r="788" customFormat="false" ht="15" hidden="false" customHeight="false" outlineLevel="0" collapsed="false">
      <c r="A788" s="12" t="s">
        <v>1029</v>
      </c>
      <c r="B788" s="12" t="n">
        <v>86</v>
      </c>
      <c r="C788" s="12" t="s">
        <v>43</v>
      </c>
      <c r="D788" s="12" t="s">
        <v>168</v>
      </c>
      <c r="E788" s="12" t="s">
        <v>183</v>
      </c>
      <c r="F788" s="12" t="s">
        <v>139</v>
      </c>
      <c r="G788" s="12" t="s">
        <v>38</v>
      </c>
      <c r="H788" s="12" t="s">
        <v>46</v>
      </c>
      <c r="I788" s="12" t="n">
        <v>30</v>
      </c>
      <c r="J788" s="12" t="s">
        <v>47</v>
      </c>
      <c r="K788" s="12" t="s">
        <v>63</v>
      </c>
      <c r="L788" s="12" t="str">
        <f aca="false">IF(OR(H788="Severe",H788="Life-Threatening"),"Yes","No")</f>
        <v>No</v>
      </c>
      <c r="M788" s="12" t="str">
        <f aca="false">IF(B788&lt;18,"0-17",IF(B788&lt;40,"18-39",IF(B788&lt;60,"40-59","60+")))</f>
        <v>60+</v>
      </c>
      <c r="N788" s="12" t="str">
        <f aca="false">IF(I788&lt;=1,"0-1 days",IF(I788&lt;=7,"2-7 days",IF(I788&lt;=30,"8-30 days","&gt;30 days")))</f>
        <v>8-30 days</v>
      </c>
    </row>
    <row r="789" customFormat="false" ht="15" hidden="false" customHeight="false" outlineLevel="0" collapsed="false">
      <c r="A789" s="12" t="s">
        <v>1030</v>
      </c>
      <c r="B789" s="12" t="n">
        <v>42</v>
      </c>
      <c r="C789" s="12" t="s">
        <v>43</v>
      </c>
      <c r="D789" s="12" t="s">
        <v>55</v>
      </c>
      <c r="E789" s="12" t="s">
        <v>164</v>
      </c>
      <c r="F789" s="12" t="s">
        <v>165</v>
      </c>
      <c r="G789" s="12" t="s">
        <v>53</v>
      </c>
      <c r="H789" s="12" t="s">
        <v>39</v>
      </c>
      <c r="I789" s="12" t="n">
        <v>24</v>
      </c>
      <c r="J789" s="12" t="s">
        <v>40</v>
      </c>
      <c r="K789" s="12" t="s">
        <v>63</v>
      </c>
      <c r="L789" s="12" t="str">
        <f aca="false">IF(OR(H789="Severe",H789="Life-Threatening"),"Yes","No")</f>
        <v>No</v>
      </c>
      <c r="M789" s="12" t="str">
        <f aca="false">IF(B789&lt;18,"0-17",IF(B789&lt;40,"18-39",IF(B789&lt;60,"40-59","60+")))</f>
        <v>40-59</v>
      </c>
      <c r="N789" s="12" t="str">
        <f aca="false">IF(I789&lt;=1,"0-1 days",IF(I789&lt;=7,"2-7 days",IF(I789&lt;=30,"8-30 days","&gt;30 days")))</f>
        <v>8-30 days</v>
      </c>
    </row>
    <row r="790" customFormat="false" ht="15" hidden="false" customHeight="false" outlineLevel="0" collapsed="false">
      <c r="A790" s="12" t="s">
        <v>1031</v>
      </c>
      <c r="B790" s="12" t="n">
        <v>24</v>
      </c>
      <c r="C790" s="12" t="s">
        <v>34</v>
      </c>
      <c r="D790" s="12" t="s">
        <v>35</v>
      </c>
      <c r="E790" s="12" t="s">
        <v>56</v>
      </c>
      <c r="F790" s="12" t="s">
        <v>100</v>
      </c>
      <c r="G790" s="12" t="s">
        <v>72</v>
      </c>
      <c r="H790" s="12" t="s">
        <v>46</v>
      </c>
      <c r="I790" s="12" t="n">
        <v>11</v>
      </c>
      <c r="J790" s="12" t="s">
        <v>40</v>
      </c>
      <c r="K790" s="12" t="s">
        <v>41</v>
      </c>
      <c r="L790" s="12" t="str">
        <f aca="false">IF(OR(H790="Severe",H790="Life-Threatening"),"Yes","No")</f>
        <v>No</v>
      </c>
      <c r="M790" s="12" t="str">
        <f aca="false">IF(B790&lt;18,"0-17",IF(B790&lt;40,"18-39",IF(B790&lt;60,"40-59","60+")))</f>
        <v>18-39</v>
      </c>
      <c r="N790" s="12" t="str">
        <f aca="false">IF(I790&lt;=1,"0-1 days",IF(I790&lt;=7,"2-7 days",IF(I790&lt;=30,"8-30 days","&gt;30 days")))</f>
        <v>8-30 days</v>
      </c>
    </row>
    <row r="791" customFormat="false" ht="15" hidden="false" customHeight="false" outlineLevel="0" collapsed="false">
      <c r="A791" s="12" t="s">
        <v>1032</v>
      </c>
      <c r="B791" s="12" t="n">
        <v>7</v>
      </c>
      <c r="C791" s="12" t="s">
        <v>34</v>
      </c>
      <c r="D791" s="12" t="s">
        <v>35</v>
      </c>
      <c r="E791" s="12" t="s">
        <v>243</v>
      </c>
      <c r="F791" s="12" t="s">
        <v>45</v>
      </c>
      <c r="G791" s="12" t="s">
        <v>38</v>
      </c>
      <c r="H791" s="12" t="s">
        <v>46</v>
      </c>
      <c r="I791" s="12" t="n">
        <v>25</v>
      </c>
      <c r="J791" s="12" t="s">
        <v>40</v>
      </c>
      <c r="K791" s="12" t="s">
        <v>63</v>
      </c>
      <c r="L791" s="12" t="str">
        <f aca="false">IF(OR(H791="Severe",H791="Life-Threatening"),"Yes","No")</f>
        <v>No</v>
      </c>
      <c r="M791" s="12" t="str">
        <f aca="false">IF(B791&lt;18,"0-17",IF(B791&lt;40,"18-39",IF(B791&lt;60,"40-59","60+")))</f>
        <v>0-17</v>
      </c>
      <c r="N791" s="12" t="str">
        <f aca="false">IF(I791&lt;=1,"0-1 days",IF(I791&lt;=7,"2-7 days",IF(I791&lt;=30,"8-30 days","&gt;30 days")))</f>
        <v>8-30 days</v>
      </c>
    </row>
    <row r="792" customFormat="false" ht="15" hidden="false" customHeight="false" outlineLevel="0" collapsed="false">
      <c r="A792" s="12" t="s">
        <v>1033</v>
      </c>
      <c r="B792" s="12" t="n">
        <v>76</v>
      </c>
      <c r="C792" s="12" t="s">
        <v>43</v>
      </c>
      <c r="D792" s="12" t="s">
        <v>194</v>
      </c>
      <c r="E792" s="12" t="s">
        <v>321</v>
      </c>
      <c r="F792" s="12" t="s">
        <v>322</v>
      </c>
      <c r="G792" s="12" t="s">
        <v>53</v>
      </c>
      <c r="H792" s="12" t="s">
        <v>46</v>
      </c>
      <c r="I792" s="12" t="n">
        <v>24</v>
      </c>
      <c r="J792" s="12" t="s">
        <v>40</v>
      </c>
      <c r="K792" s="12" t="s">
        <v>48</v>
      </c>
      <c r="L792" s="12" t="str">
        <f aca="false">IF(OR(H792="Severe",H792="Life-Threatening"),"Yes","No")</f>
        <v>No</v>
      </c>
      <c r="M792" s="12" t="str">
        <f aca="false">IF(B792&lt;18,"0-17",IF(B792&lt;40,"18-39",IF(B792&lt;60,"40-59","60+")))</f>
        <v>60+</v>
      </c>
      <c r="N792" s="12" t="str">
        <f aca="false">IF(I792&lt;=1,"0-1 days",IF(I792&lt;=7,"2-7 days",IF(I792&lt;=30,"8-30 days","&gt;30 days")))</f>
        <v>8-30 days</v>
      </c>
    </row>
    <row r="793" customFormat="false" ht="15" hidden="false" customHeight="false" outlineLevel="0" collapsed="false">
      <c r="A793" s="12" t="s">
        <v>1034</v>
      </c>
      <c r="B793" s="12" t="n">
        <v>45</v>
      </c>
      <c r="C793" s="12" t="s">
        <v>43</v>
      </c>
      <c r="D793" s="12" t="s">
        <v>35</v>
      </c>
      <c r="E793" s="12" t="s">
        <v>498</v>
      </c>
      <c r="F793" s="12" t="s">
        <v>322</v>
      </c>
      <c r="G793" s="12" t="s">
        <v>53</v>
      </c>
      <c r="H793" s="12" t="s">
        <v>46</v>
      </c>
      <c r="I793" s="12" t="n">
        <v>12</v>
      </c>
      <c r="J793" s="12" t="s">
        <v>40</v>
      </c>
      <c r="K793" s="12" t="s">
        <v>63</v>
      </c>
      <c r="L793" s="12" t="str">
        <f aca="false">IF(OR(H793="Severe",H793="Life-Threatening"),"Yes","No")</f>
        <v>No</v>
      </c>
      <c r="M793" s="12" t="str">
        <f aca="false">IF(B793&lt;18,"0-17",IF(B793&lt;40,"18-39",IF(B793&lt;60,"40-59","60+")))</f>
        <v>40-59</v>
      </c>
      <c r="N793" s="12" t="str">
        <f aca="false">IF(I793&lt;=1,"0-1 days",IF(I793&lt;=7,"2-7 days",IF(I793&lt;=30,"8-30 days","&gt;30 days")))</f>
        <v>8-30 days</v>
      </c>
    </row>
    <row r="794" customFormat="false" ht="15" hidden="false" customHeight="false" outlineLevel="0" collapsed="false">
      <c r="A794" s="12" t="s">
        <v>1035</v>
      </c>
      <c r="B794" s="12" t="n">
        <v>36</v>
      </c>
      <c r="C794" s="12" t="s">
        <v>34</v>
      </c>
      <c r="D794" s="12" t="s">
        <v>194</v>
      </c>
      <c r="E794" s="12" t="s">
        <v>181</v>
      </c>
      <c r="F794" s="12" t="s">
        <v>506</v>
      </c>
      <c r="G794" s="12" t="s">
        <v>94</v>
      </c>
      <c r="H794" s="12" t="s">
        <v>39</v>
      </c>
      <c r="I794" s="12" t="n">
        <v>5</v>
      </c>
      <c r="J794" s="12" t="s">
        <v>40</v>
      </c>
      <c r="K794" s="12" t="s">
        <v>63</v>
      </c>
      <c r="L794" s="12" t="str">
        <f aca="false">IF(OR(H794="Severe",H794="Life-Threatening"),"Yes","No")</f>
        <v>No</v>
      </c>
      <c r="M794" s="12" t="str">
        <f aca="false">IF(B794&lt;18,"0-17",IF(B794&lt;40,"18-39",IF(B794&lt;60,"40-59","60+")))</f>
        <v>18-39</v>
      </c>
      <c r="N794" s="12" t="str">
        <f aca="false">IF(I794&lt;=1,"0-1 days",IF(I794&lt;=7,"2-7 days",IF(I794&lt;=30,"8-30 days","&gt;30 days")))</f>
        <v>2-7 days</v>
      </c>
    </row>
    <row r="795" customFormat="false" ht="15" hidden="false" customHeight="false" outlineLevel="0" collapsed="false">
      <c r="A795" s="12" t="s">
        <v>1036</v>
      </c>
      <c r="B795" s="12" t="n">
        <v>70</v>
      </c>
      <c r="C795" s="12" t="s">
        <v>34</v>
      </c>
      <c r="D795" s="12" t="s">
        <v>102</v>
      </c>
      <c r="E795" s="12" t="s">
        <v>181</v>
      </c>
      <c r="F795" s="12" t="s">
        <v>37</v>
      </c>
      <c r="G795" s="12" t="s">
        <v>38</v>
      </c>
      <c r="H795" s="12" t="s">
        <v>46</v>
      </c>
      <c r="I795" s="12" t="n">
        <v>21</v>
      </c>
      <c r="J795" s="12" t="s">
        <v>40</v>
      </c>
      <c r="K795" s="12" t="s">
        <v>41</v>
      </c>
      <c r="L795" s="12" t="str">
        <f aca="false">IF(OR(H795="Severe",H795="Life-Threatening"),"Yes","No")</f>
        <v>No</v>
      </c>
      <c r="M795" s="12" t="str">
        <f aca="false">IF(B795&lt;18,"0-17",IF(B795&lt;40,"18-39",IF(B795&lt;60,"40-59","60+")))</f>
        <v>60+</v>
      </c>
      <c r="N795" s="12" t="str">
        <f aca="false">IF(I795&lt;=1,"0-1 days",IF(I795&lt;=7,"2-7 days",IF(I795&lt;=30,"8-30 days","&gt;30 days")))</f>
        <v>8-30 days</v>
      </c>
    </row>
    <row r="796" customFormat="false" ht="15" hidden="false" customHeight="false" outlineLevel="0" collapsed="false">
      <c r="A796" s="12" t="s">
        <v>1037</v>
      </c>
      <c r="B796" s="12" t="n">
        <v>86</v>
      </c>
      <c r="C796" s="12" t="s">
        <v>34</v>
      </c>
      <c r="D796" s="12" t="s">
        <v>149</v>
      </c>
      <c r="E796" s="12" t="s">
        <v>83</v>
      </c>
      <c r="F796" s="12" t="s">
        <v>45</v>
      </c>
      <c r="G796" s="12" t="s">
        <v>38</v>
      </c>
      <c r="H796" s="12" t="s">
        <v>39</v>
      </c>
      <c r="I796" s="12" t="n">
        <v>11</v>
      </c>
      <c r="J796" s="12" t="s">
        <v>47</v>
      </c>
      <c r="K796" s="12" t="s">
        <v>147</v>
      </c>
      <c r="L796" s="12" t="str">
        <f aca="false">IF(OR(H796="Severe",H796="Life-Threatening"),"Yes","No")</f>
        <v>No</v>
      </c>
      <c r="M796" s="12" t="str">
        <f aca="false">IF(B796&lt;18,"0-17",IF(B796&lt;40,"18-39",IF(B796&lt;60,"40-59","60+")))</f>
        <v>60+</v>
      </c>
      <c r="N796" s="12" t="str">
        <f aca="false">IF(I796&lt;=1,"0-1 days",IF(I796&lt;=7,"2-7 days",IF(I796&lt;=30,"8-30 days","&gt;30 days")))</f>
        <v>8-30 days</v>
      </c>
    </row>
    <row r="797" customFormat="false" ht="15" hidden="false" customHeight="false" outlineLevel="0" collapsed="false">
      <c r="A797" s="12" t="s">
        <v>1038</v>
      </c>
      <c r="B797" s="12" t="n">
        <v>38</v>
      </c>
      <c r="C797" s="12" t="s">
        <v>43</v>
      </c>
      <c r="D797" s="12" t="s">
        <v>155</v>
      </c>
      <c r="E797" s="12" t="s">
        <v>383</v>
      </c>
      <c r="F797" s="12" t="s">
        <v>139</v>
      </c>
      <c r="G797" s="12" t="s">
        <v>38</v>
      </c>
      <c r="H797" s="12" t="s">
        <v>46</v>
      </c>
      <c r="I797" s="12" t="n">
        <v>3</v>
      </c>
      <c r="J797" s="12" t="s">
        <v>47</v>
      </c>
      <c r="K797" s="12" t="s">
        <v>48</v>
      </c>
      <c r="L797" s="12" t="str">
        <f aca="false">IF(OR(H797="Severe",H797="Life-Threatening"),"Yes","No")</f>
        <v>No</v>
      </c>
      <c r="M797" s="12" t="str">
        <f aca="false">IF(B797&lt;18,"0-17",IF(B797&lt;40,"18-39",IF(B797&lt;60,"40-59","60+")))</f>
        <v>18-39</v>
      </c>
      <c r="N797" s="12" t="str">
        <f aca="false">IF(I797&lt;=1,"0-1 days",IF(I797&lt;=7,"2-7 days",IF(I797&lt;=30,"8-30 days","&gt;30 days")))</f>
        <v>2-7 days</v>
      </c>
    </row>
    <row r="798" customFormat="false" ht="15" hidden="false" customHeight="false" outlineLevel="0" collapsed="false">
      <c r="A798" s="12" t="s">
        <v>1039</v>
      </c>
      <c r="B798" s="12" t="n">
        <v>73</v>
      </c>
      <c r="C798" s="12" t="s">
        <v>34</v>
      </c>
      <c r="D798" s="12" t="s">
        <v>35</v>
      </c>
      <c r="E798" s="12" t="s">
        <v>229</v>
      </c>
      <c r="F798" s="12" t="s">
        <v>139</v>
      </c>
      <c r="G798" s="12" t="s">
        <v>38</v>
      </c>
      <c r="H798" s="12" t="s">
        <v>46</v>
      </c>
      <c r="I798" s="12" t="n">
        <v>19</v>
      </c>
      <c r="J798" s="12" t="s">
        <v>40</v>
      </c>
      <c r="K798" s="12" t="s">
        <v>147</v>
      </c>
      <c r="L798" s="12" t="str">
        <f aca="false">IF(OR(H798="Severe",H798="Life-Threatening"),"Yes","No")</f>
        <v>No</v>
      </c>
      <c r="M798" s="12" t="str">
        <f aca="false">IF(B798&lt;18,"0-17",IF(B798&lt;40,"18-39",IF(B798&lt;60,"40-59","60+")))</f>
        <v>60+</v>
      </c>
      <c r="N798" s="12" t="str">
        <f aca="false">IF(I798&lt;=1,"0-1 days",IF(I798&lt;=7,"2-7 days",IF(I798&lt;=30,"8-30 days","&gt;30 days")))</f>
        <v>8-30 days</v>
      </c>
    </row>
    <row r="799" customFormat="false" ht="15" hidden="false" customHeight="false" outlineLevel="0" collapsed="false">
      <c r="A799" s="12" t="s">
        <v>1040</v>
      </c>
      <c r="B799" s="12" t="n">
        <v>37</v>
      </c>
      <c r="C799" s="12" t="s">
        <v>34</v>
      </c>
      <c r="D799" s="12" t="s">
        <v>35</v>
      </c>
      <c r="E799" s="12" t="s">
        <v>315</v>
      </c>
      <c r="F799" s="12" t="s">
        <v>62</v>
      </c>
      <c r="G799" s="12" t="s">
        <v>53</v>
      </c>
      <c r="H799" s="12" t="s">
        <v>39</v>
      </c>
      <c r="I799" s="12" t="n">
        <v>17</v>
      </c>
      <c r="J799" s="12" t="s">
        <v>40</v>
      </c>
      <c r="K799" s="12" t="s">
        <v>147</v>
      </c>
      <c r="L799" s="12" t="str">
        <f aca="false">IF(OR(H799="Severe",H799="Life-Threatening"),"Yes","No")</f>
        <v>No</v>
      </c>
      <c r="M799" s="12" t="str">
        <f aca="false">IF(B799&lt;18,"0-17",IF(B799&lt;40,"18-39",IF(B799&lt;60,"40-59","60+")))</f>
        <v>18-39</v>
      </c>
      <c r="N799" s="12" t="str">
        <f aca="false">IF(I799&lt;=1,"0-1 days",IF(I799&lt;=7,"2-7 days",IF(I799&lt;=30,"8-30 days","&gt;30 days")))</f>
        <v>8-30 days</v>
      </c>
    </row>
    <row r="800" customFormat="false" ht="15" hidden="false" customHeight="false" outlineLevel="0" collapsed="false">
      <c r="A800" s="12" t="s">
        <v>1041</v>
      </c>
      <c r="B800" s="12" t="n">
        <v>66</v>
      </c>
      <c r="C800" s="12" t="s">
        <v>43</v>
      </c>
      <c r="D800" s="12" t="s">
        <v>112</v>
      </c>
      <c r="E800" s="12" t="s">
        <v>243</v>
      </c>
      <c r="F800" s="12" t="s">
        <v>45</v>
      </c>
      <c r="G800" s="12" t="s">
        <v>38</v>
      </c>
      <c r="H800" s="12" t="s">
        <v>46</v>
      </c>
      <c r="I800" s="12" t="n">
        <v>18</v>
      </c>
      <c r="J800" s="12" t="s">
        <v>40</v>
      </c>
      <c r="K800" s="12" t="s">
        <v>41</v>
      </c>
      <c r="L800" s="12" t="str">
        <f aca="false">IF(OR(H800="Severe",H800="Life-Threatening"),"Yes","No")</f>
        <v>No</v>
      </c>
      <c r="M800" s="12" t="str">
        <f aca="false">IF(B800&lt;18,"0-17",IF(B800&lt;40,"18-39",IF(B800&lt;60,"40-59","60+")))</f>
        <v>60+</v>
      </c>
      <c r="N800" s="12" t="str">
        <f aca="false">IF(I800&lt;=1,"0-1 days",IF(I800&lt;=7,"2-7 days",IF(I800&lt;=30,"8-30 days","&gt;30 days")))</f>
        <v>8-30 days</v>
      </c>
    </row>
    <row r="801" customFormat="false" ht="15" hidden="false" customHeight="false" outlineLevel="0" collapsed="false">
      <c r="A801" s="12" t="s">
        <v>1042</v>
      </c>
      <c r="B801" s="12" t="n">
        <v>58</v>
      </c>
      <c r="C801" s="12" t="s">
        <v>34</v>
      </c>
      <c r="D801" s="12" t="s">
        <v>35</v>
      </c>
      <c r="E801" s="12" t="s">
        <v>158</v>
      </c>
      <c r="F801" s="12" t="s">
        <v>62</v>
      </c>
      <c r="G801" s="12" t="s">
        <v>53</v>
      </c>
      <c r="H801" s="12" t="s">
        <v>46</v>
      </c>
      <c r="I801" s="12" t="n">
        <v>10</v>
      </c>
      <c r="J801" s="12" t="s">
        <v>47</v>
      </c>
      <c r="K801" s="12" t="s">
        <v>48</v>
      </c>
      <c r="L801" s="12" t="str">
        <f aca="false">IF(OR(H801="Severe",H801="Life-Threatening"),"Yes","No")</f>
        <v>No</v>
      </c>
      <c r="M801" s="12" t="str">
        <f aca="false">IF(B801&lt;18,"0-17",IF(B801&lt;40,"18-39",IF(B801&lt;60,"40-59","60+")))</f>
        <v>40-59</v>
      </c>
      <c r="N801" s="12" t="str">
        <f aca="false">IF(I801&lt;=1,"0-1 days",IF(I801&lt;=7,"2-7 days",IF(I801&lt;=30,"8-30 days","&gt;30 days")))</f>
        <v>8-30 days</v>
      </c>
    </row>
    <row r="802" customFormat="false" ht="15" hidden="false" customHeight="false" outlineLevel="0" collapsed="false">
      <c r="A802" s="12" t="s">
        <v>1043</v>
      </c>
      <c r="B802" s="12" t="n">
        <v>6</v>
      </c>
      <c r="C802" s="12" t="s">
        <v>43</v>
      </c>
      <c r="D802" s="12" t="s">
        <v>120</v>
      </c>
      <c r="E802" s="12" t="s">
        <v>198</v>
      </c>
      <c r="F802" s="12" t="s">
        <v>79</v>
      </c>
      <c r="G802" s="12" t="s">
        <v>80</v>
      </c>
      <c r="H802" s="12" t="s">
        <v>59</v>
      </c>
      <c r="I802" s="12" t="n">
        <v>26</v>
      </c>
      <c r="J802" s="12" t="s">
        <v>47</v>
      </c>
      <c r="K802" s="12" t="s">
        <v>48</v>
      </c>
      <c r="L802" s="12" t="str">
        <f aca="false">IF(OR(H802="Severe",H802="Life-Threatening"),"Yes","No")</f>
        <v>Yes</v>
      </c>
      <c r="M802" s="12" t="str">
        <f aca="false">IF(B802&lt;18,"0-17",IF(B802&lt;40,"18-39",IF(B802&lt;60,"40-59","60+")))</f>
        <v>0-17</v>
      </c>
      <c r="N802" s="12" t="str">
        <f aca="false">IF(I802&lt;=1,"0-1 days",IF(I802&lt;=7,"2-7 days",IF(I802&lt;=30,"8-30 days","&gt;30 days")))</f>
        <v>8-30 days</v>
      </c>
    </row>
    <row r="803" customFormat="false" ht="15" hidden="false" customHeight="false" outlineLevel="0" collapsed="false">
      <c r="A803" s="12" t="s">
        <v>1044</v>
      </c>
      <c r="B803" s="12" t="n">
        <v>47</v>
      </c>
      <c r="C803" s="12" t="s">
        <v>43</v>
      </c>
      <c r="D803" s="12" t="s">
        <v>120</v>
      </c>
      <c r="E803" s="12" t="s">
        <v>301</v>
      </c>
      <c r="F803" s="12" t="s">
        <v>302</v>
      </c>
      <c r="G803" s="12" t="s">
        <v>53</v>
      </c>
      <c r="H803" s="12" t="s">
        <v>39</v>
      </c>
      <c r="I803" s="12" t="n">
        <v>9</v>
      </c>
      <c r="J803" s="12" t="s">
        <v>40</v>
      </c>
      <c r="K803" s="12" t="s">
        <v>63</v>
      </c>
      <c r="L803" s="12" t="str">
        <f aca="false">IF(OR(H803="Severe",H803="Life-Threatening"),"Yes","No")</f>
        <v>No</v>
      </c>
      <c r="M803" s="12" t="str">
        <f aca="false">IF(B803&lt;18,"0-17",IF(B803&lt;40,"18-39",IF(B803&lt;60,"40-59","60+")))</f>
        <v>40-59</v>
      </c>
      <c r="N803" s="12" t="str">
        <f aca="false">IF(I803&lt;=1,"0-1 days",IF(I803&lt;=7,"2-7 days",IF(I803&lt;=30,"8-30 days","&gt;30 days")))</f>
        <v>8-30 days</v>
      </c>
    </row>
    <row r="804" customFormat="false" ht="15" hidden="false" customHeight="false" outlineLevel="0" collapsed="false">
      <c r="A804" s="12" t="s">
        <v>1045</v>
      </c>
      <c r="B804" s="12" t="n">
        <v>45</v>
      </c>
      <c r="C804" s="12" t="s">
        <v>34</v>
      </c>
      <c r="D804" s="12" t="s">
        <v>88</v>
      </c>
      <c r="E804" s="12" t="s">
        <v>141</v>
      </c>
      <c r="F804" s="12" t="s">
        <v>305</v>
      </c>
      <c r="G804" s="12" t="s">
        <v>177</v>
      </c>
      <c r="H804" s="12" t="s">
        <v>76</v>
      </c>
      <c r="I804" s="12" t="n">
        <v>2</v>
      </c>
      <c r="J804" s="12" t="s">
        <v>169</v>
      </c>
      <c r="K804" s="12" t="s">
        <v>41</v>
      </c>
      <c r="L804" s="12" t="str">
        <f aca="false">IF(OR(H804="Severe",H804="Life-Threatening"),"Yes","No")</f>
        <v>Yes</v>
      </c>
      <c r="M804" s="12" t="str">
        <f aca="false">IF(B804&lt;18,"0-17",IF(B804&lt;40,"18-39",IF(B804&lt;60,"40-59","60+")))</f>
        <v>40-59</v>
      </c>
      <c r="N804" s="12" t="str">
        <f aca="false">IF(I804&lt;=1,"0-1 days",IF(I804&lt;=7,"2-7 days",IF(I804&lt;=30,"8-30 days","&gt;30 days")))</f>
        <v>2-7 days</v>
      </c>
    </row>
    <row r="805" customFormat="false" ht="15" hidden="false" customHeight="false" outlineLevel="0" collapsed="false">
      <c r="A805" s="12" t="s">
        <v>1046</v>
      </c>
      <c r="B805" s="12" t="n">
        <v>52</v>
      </c>
      <c r="C805" s="12" t="s">
        <v>43</v>
      </c>
      <c r="D805" s="12" t="s">
        <v>102</v>
      </c>
      <c r="E805" s="12" t="s">
        <v>241</v>
      </c>
      <c r="F805" s="12" t="s">
        <v>135</v>
      </c>
      <c r="G805" s="12" t="s">
        <v>136</v>
      </c>
      <c r="H805" s="12" t="s">
        <v>46</v>
      </c>
      <c r="I805" s="12" t="n">
        <v>23</v>
      </c>
      <c r="J805" s="12" t="s">
        <v>40</v>
      </c>
      <c r="K805" s="12" t="s">
        <v>63</v>
      </c>
      <c r="L805" s="12" t="str">
        <f aca="false">IF(OR(H805="Severe",H805="Life-Threatening"),"Yes","No")</f>
        <v>No</v>
      </c>
      <c r="M805" s="12" t="str">
        <f aca="false">IF(B805&lt;18,"0-17",IF(B805&lt;40,"18-39",IF(B805&lt;60,"40-59","60+")))</f>
        <v>40-59</v>
      </c>
      <c r="N805" s="12" t="str">
        <f aca="false">IF(I805&lt;=1,"0-1 days",IF(I805&lt;=7,"2-7 days",IF(I805&lt;=30,"8-30 days","&gt;30 days")))</f>
        <v>8-30 days</v>
      </c>
    </row>
    <row r="806" customFormat="false" ht="15" hidden="false" customHeight="false" outlineLevel="0" collapsed="false">
      <c r="A806" s="12" t="s">
        <v>1047</v>
      </c>
      <c r="B806" s="12" t="n">
        <v>76</v>
      </c>
      <c r="C806" s="12" t="s">
        <v>43</v>
      </c>
      <c r="D806" s="12" t="s">
        <v>55</v>
      </c>
      <c r="E806" s="12" t="s">
        <v>179</v>
      </c>
      <c r="F806" s="12" t="s">
        <v>45</v>
      </c>
      <c r="G806" s="12" t="s">
        <v>38</v>
      </c>
      <c r="H806" s="12" t="s">
        <v>46</v>
      </c>
      <c r="I806" s="12" t="n">
        <v>29</v>
      </c>
      <c r="J806" s="12" t="s">
        <v>47</v>
      </c>
      <c r="K806" s="12" t="s">
        <v>63</v>
      </c>
      <c r="L806" s="12" t="str">
        <f aca="false">IF(OR(H806="Severe",H806="Life-Threatening"),"Yes","No")</f>
        <v>No</v>
      </c>
      <c r="M806" s="12" t="str">
        <f aca="false">IF(B806&lt;18,"0-17",IF(B806&lt;40,"18-39",IF(B806&lt;60,"40-59","60+")))</f>
        <v>60+</v>
      </c>
      <c r="N806" s="12" t="str">
        <f aca="false">IF(I806&lt;=1,"0-1 days",IF(I806&lt;=7,"2-7 days",IF(I806&lt;=30,"8-30 days","&gt;30 days")))</f>
        <v>8-30 days</v>
      </c>
    </row>
    <row r="807" customFormat="false" ht="15" hidden="false" customHeight="false" outlineLevel="0" collapsed="false">
      <c r="A807" s="12" t="s">
        <v>1048</v>
      </c>
      <c r="B807" s="12" t="n">
        <v>68</v>
      </c>
      <c r="C807" s="12" t="s">
        <v>34</v>
      </c>
      <c r="D807" s="12" t="s">
        <v>69</v>
      </c>
      <c r="E807" s="12" t="s">
        <v>121</v>
      </c>
      <c r="F807" s="12" t="s">
        <v>45</v>
      </c>
      <c r="G807" s="12" t="s">
        <v>38</v>
      </c>
      <c r="H807" s="12" t="s">
        <v>39</v>
      </c>
      <c r="I807" s="12" t="n">
        <v>7</v>
      </c>
      <c r="J807" s="12" t="s">
        <v>40</v>
      </c>
      <c r="K807" s="12" t="s">
        <v>147</v>
      </c>
      <c r="L807" s="12" t="str">
        <f aca="false">IF(OR(H807="Severe",H807="Life-Threatening"),"Yes","No")</f>
        <v>No</v>
      </c>
      <c r="M807" s="12" t="str">
        <f aca="false">IF(B807&lt;18,"0-17",IF(B807&lt;40,"18-39",IF(B807&lt;60,"40-59","60+")))</f>
        <v>60+</v>
      </c>
      <c r="N807" s="12" t="str">
        <f aca="false">IF(I807&lt;=1,"0-1 days",IF(I807&lt;=7,"2-7 days",IF(I807&lt;=30,"8-30 days","&gt;30 days")))</f>
        <v>2-7 days</v>
      </c>
    </row>
    <row r="808" customFormat="false" ht="15" hidden="false" customHeight="false" outlineLevel="0" collapsed="false">
      <c r="A808" s="12" t="s">
        <v>1049</v>
      </c>
      <c r="B808" s="12" t="n">
        <v>26</v>
      </c>
      <c r="C808" s="12" t="s">
        <v>34</v>
      </c>
      <c r="D808" s="12" t="s">
        <v>69</v>
      </c>
      <c r="E808" s="12" t="s">
        <v>36</v>
      </c>
      <c r="F808" s="12" t="s">
        <v>37</v>
      </c>
      <c r="G808" s="12" t="s">
        <v>38</v>
      </c>
      <c r="H808" s="12" t="s">
        <v>39</v>
      </c>
      <c r="I808" s="12" t="n">
        <v>16</v>
      </c>
      <c r="J808" s="12" t="s">
        <v>40</v>
      </c>
      <c r="K808" s="12" t="s">
        <v>41</v>
      </c>
      <c r="L808" s="12" t="str">
        <f aca="false">IF(OR(H808="Severe",H808="Life-Threatening"),"Yes","No")</f>
        <v>No</v>
      </c>
      <c r="M808" s="12" t="str">
        <f aca="false">IF(B808&lt;18,"0-17",IF(B808&lt;40,"18-39",IF(B808&lt;60,"40-59","60+")))</f>
        <v>18-39</v>
      </c>
      <c r="N808" s="12" t="str">
        <f aca="false">IF(I808&lt;=1,"0-1 days",IF(I808&lt;=7,"2-7 days",IF(I808&lt;=30,"8-30 days","&gt;30 days")))</f>
        <v>8-30 days</v>
      </c>
    </row>
    <row r="809" customFormat="false" ht="15" hidden="false" customHeight="false" outlineLevel="0" collapsed="false">
      <c r="A809" s="12" t="s">
        <v>1050</v>
      </c>
      <c r="B809" s="12" t="n">
        <v>62</v>
      </c>
      <c r="C809" s="12" t="s">
        <v>34</v>
      </c>
      <c r="D809" s="12" t="s">
        <v>168</v>
      </c>
      <c r="E809" s="12" t="s">
        <v>213</v>
      </c>
      <c r="F809" s="12" t="s">
        <v>45</v>
      </c>
      <c r="G809" s="12" t="s">
        <v>38</v>
      </c>
      <c r="H809" s="12" t="s">
        <v>59</v>
      </c>
      <c r="I809" s="12" t="n">
        <v>13</v>
      </c>
      <c r="J809" s="12" t="s">
        <v>40</v>
      </c>
      <c r="K809" s="12" t="s">
        <v>48</v>
      </c>
      <c r="L809" s="12" t="str">
        <f aca="false">IF(OR(H809="Severe",H809="Life-Threatening"),"Yes","No")</f>
        <v>Yes</v>
      </c>
      <c r="M809" s="12" t="str">
        <f aca="false">IF(B809&lt;18,"0-17",IF(B809&lt;40,"18-39",IF(B809&lt;60,"40-59","60+")))</f>
        <v>60+</v>
      </c>
      <c r="N809" s="12" t="str">
        <f aca="false">IF(I809&lt;=1,"0-1 days",IF(I809&lt;=7,"2-7 days",IF(I809&lt;=30,"8-30 days","&gt;30 days")))</f>
        <v>8-30 days</v>
      </c>
    </row>
    <row r="810" customFormat="false" ht="15" hidden="false" customHeight="false" outlineLevel="0" collapsed="false">
      <c r="A810" s="12" t="s">
        <v>1051</v>
      </c>
      <c r="B810" s="12" t="n">
        <v>54</v>
      </c>
      <c r="C810" s="12" t="s">
        <v>34</v>
      </c>
      <c r="D810" s="12" t="s">
        <v>35</v>
      </c>
      <c r="E810" s="12" t="s">
        <v>181</v>
      </c>
      <c r="F810" s="12" t="s">
        <v>37</v>
      </c>
      <c r="G810" s="12" t="s">
        <v>38</v>
      </c>
      <c r="H810" s="12" t="s">
        <v>46</v>
      </c>
      <c r="I810" s="12" t="n">
        <v>10</v>
      </c>
      <c r="J810" s="12" t="s">
        <v>40</v>
      </c>
      <c r="K810" s="12" t="s">
        <v>48</v>
      </c>
      <c r="L810" s="12" t="str">
        <f aca="false">IF(OR(H810="Severe",H810="Life-Threatening"),"Yes","No")</f>
        <v>No</v>
      </c>
      <c r="M810" s="12" t="str">
        <f aca="false">IF(B810&lt;18,"0-17",IF(B810&lt;40,"18-39",IF(B810&lt;60,"40-59","60+")))</f>
        <v>40-59</v>
      </c>
      <c r="N810" s="12" t="str">
        <f aca="false">IF(I810&lt;=1,"0-1 days",IF(I810&lt;=7,"2-7 days",IF(I810&lt;=30,"8-30 days","&gt;30 days")))</f>
        <v>8-30 days</v>
      </c>
    </row>
    <row r="811" customFormat="false" ht="15" hidden="false" customHeight="false" outlineLevel="0" collapsed="false">
      <c r="A811" s="12" t="s">
        <v>1052</v>
      </c>
      <c r="B811" s="12" t="n">
        <v>81</v>
      </c>
      <c r="C811" s="12" t="s">
        <v>43</v>
      </c>
      <c r="D811" s="12" t="s">
        <v>35</v>
      </c>
      <c r="E811" s="12" t="s">
        <v>138</v>
      </c>
      <c r="F811" s="12" t="s">
        <v>214</v>
      </c>
      <c r="G811" s="12" t="s">
        <v>115</v>
      </c>
      <c r="H811" s="12" t="s">
        <v>46</v>
      </c>
      <c r="I811" s="12" t="n">
        <v>4</v>
      </c>
      <c r="J811" s="12" t="s">
        <v>40</v>
      </c>
      <c r="K811" s="12" t="s">
        <v>48</v>
      </c>
      <c r="L811" s="12" t="str">
        <f aca="false">IF(OR(H811="Severe",H811="Life-Threatening"),"Yes","No")</f>
        <v>No</v>
      </c>
      <c r="M811" s="12" t="str">
        <f aca="false">IF(B811&lt;18,"0-17",IF(B811&lt;40,"18-39",IF(B811&lt;60,"40-59","60+")))</f>
        <v>60+</v>
      </c>
      <c r="N811" s="12" t="str">
        <f aca="false">IF(I811&lt;=1,"0-1 days",IF(I811&lt;=7,"2-7 days",IF(I811&lt;=30,"8-30 days","&gt;30 days")))</f>
        <v>2-7 days</v>
      </c>
    </row>
    <row r="812" customFormat="false" ht="15" hidden="false" customHeight="false" outlineLevel="0" collapsed="false">
      <c r="A812" s="12" t="s">
        <v>1053</v>
      </c>
      <c r="B812" s="12" t="n">
        <v>72</v>
      </c>
      <c r="C812" s="12" t="s">
        <v>34</v>
      </c>
      <c r="D812" s="12" t="s">
        <v>35</v>
      </c>
      <c r="E812" s="12" t="s">
        <v>530</v>
      </c>
      <c r="F812" s="12" t="s">
        <v>531</v>
      </c>
      <c r="G812" s="12" t="s">
        <v>94</v>
      </c>
      <c r="H812" s="12" t="s">
        <v>39</v>
      </c>
      <c r="I812" s="12" t="n">
        <v>20</v>
      </c>
      <c r="J812" s="12" t="s">
        <v>40</v>
      </c>
      <c r="K812" s="12" t="s">
        <v>48</v>
      </c>
      <c r="L812" s="12" t="str">
        <f aca="false">IF(OR(H812="Severe",H812="Life-Threatening"),"Yes","No")</f>
        <v>No</v>
      </c>
      <c r="M812" s="12" t="str">
        <f aca="false">IF(B812&lt;18,"0-17",IF(B812&lt;40,"18-39",IF(B812&lt;60,"40-59","60+")))</f>
        <v>60+</v>
      </c>
      <c r="N812" s="12" t="str">
        <f aca="false">IF(I812&lt;=1,"0-1 days",IF(I812&lt;=7,"2-7 days",IF(I812&lt;=30,"8-30 days","&gt;30 days")))</f>
        <v>8-30 days</v>
      </c>
    </row>
    <row r="813" customFormat="false" ht="15" hidden="false" customHeight="false" outlineLevel="0" collapsed="false">
      <c r="A813" s="12" t="s">
        <v>1054</v>
      </c>
      <c r="B813" s="12" t="n">
        <v>85</v>
      </c>
      <c r="C813" s="12" t="s">
        <v>34</v>
      </c>
      <c r="D813" s="12" t="s">
        <v>55</v>
      </c>
      <c r="E813" s="12" t="s">
        <v>127</v>
      </c>
      <c r="F813" s="12" t="s">
        <v>325</v>
      </c>
      <c r="G813" s="12" t="s">
        <v>177</v>
      </c>
      <c r="H813" s="12" t="s">
        <v>76</v>
      </c>
      <c r="I813" s="12" t="n">
        <v>21</v>
      </c>
      <c r="J813" s="12" t="s">
        <v>40</v>
      </c>
      <c r="K813" s="12" t="s">
        <v>48</v>
      </c>
      <c r="L813" s="12" t="str">
        <f aca="false">IF(OR(H813="Severe",H813="Life-Threatening"),"Yes","No")</f>
        <v>Yes</v>
      </c>
      <c r="M813" s="12" t="str">
        <f aca="false">IF(B813&lt;18,"0-17",IF(B813&lt;40,"18-39",IF(B813&lt;60,"40-59","60+")))</f>
        <v>60+</v>
      </c>
      <c r="N813" s="12" t="str">
        <f aca="false">IF(I813&lt;=1,"0-1 days",IF(I813&lt;=7,"2-7 days",IF(I813&lt;=30,"8-30 days","&gt;30 days")))</f>
        <v>8-30 days</v>
      </c>
    </row>
    <row r="814" customFormat="false" ht="15" hidden="false" customHeight="false" outlineLevel="0" collapsed="false">
      <c r="A814" s="12" t="s">
        <v>1055</v>
      </c>
      <c r="B814" s="12" t="n">
        <v>76</v>
      </c>
      <c r="C814" s="12" t="s">
        <v>43</v>
      </c>
      <c r="D814" s="12" t="s">
        <v>327</v>
      </c>
      <c r="E814" s="12" t="s">
        <v>225</v>
      </c>
      <c r="F814" s="12" t="s">
        <v>139</v>
      </c>
      <c r="G814" s="12" t="s">
        <v>38</v>
      </c>
      <c r="H814" s="12" t="s">
        <v>46</v>
      </c>
      <c r="I814" s="12" t="n">
        <v>25</v>
      </c>
      <c r="J814" s="12" t="s">
        <v>40</v>
      </c>
      <c r="K814" s="12" t="s">
        <v>63</v>
      </c>
      <c r="L814" s="12" t="str">
        <f aca="false">IF(OR(H814="Severe",H814="Life-Threatening"),"Yes","No")</f>
        <v>No</v>
      </c>
      <c r="M814" s="12" t="str">
        <f aca="false">IF(B814&lt;18,"0-17",IF(B814&lt;40,"18-39",IF(B814&lt;60,"40-59","60+")))</f>
        <v>60+</v>
      </c>
      <c r="N814" s="12" t="str">
        <f aca="false">IF(I814&lt;=1,"0-1 days",IF(I814&lt;=7,"2-7 days",IF(I814&lt;=30,"8-30 days","&gt;30 days")))</f>
        <v>8-30 days</v>
      </c>
    </row>
    <row r="815" customFormat="false" ht="15" hidden="false" customHeight="false" outlineLevel="0" collapsed="false">
      <c r="A815" s="12" t="s">
        <v>1056</v>
      </c>
      <c r="B815" s="12" t="n">
        <v>51</v>
      </c>
      <c r="C815" s="12" t="s">
        <v>34</v>
      </c>
      <c r="D815" s="12" t="s">
        <v>50</v>
      </c>
      <c r="E815" s="12" t="s">
        <v>243</v>
      </c>
      <c r="F815" s="12" t="s">
        <v>45</v>
      </c>
      <c r="G815" s="12" t="s">
        <v>38</v>
      </c>
      <c r="H815" s="12" t="s">
        <v>46</v>
      </c>
      <c r="I815" s="12" t="n">
        <v>4</v>
      </c>
      <c r="J815" s="12" t="s">
        <v>47</v>
      </c>
      <c r="K815" s="12" t="s">
        <v>63</v>
      </c>
      <c r="L815" s="12" t="str">
        <f aca="false">IF(OR(H815="Severe",H815="Life-Threatening"),"Yes","No")</f>
        <v>No</v>
      </c>
      <c r="M815" s="12" t="str">
        <f aca="false">IF(B815&lt;18,"0-17",IF(B815&lt;40,"18-39",IF(B815&lt;60,"40-59","60+")))</f>
        <v>40-59</v>
      </c>
      <c r="N815" s="12" t="str">
        <f aca="false">IF(I815&lt;=1,"0-1 days",IF(I815&lt;=7,"2-7 days",IF(I815&lt;=30,"8-30 days","&gt;30 days")))</f>
        <v>2-7 days</v>
      </c>
    </row>
    <row r="816" customFormat="false" ht="15" hidden="false" customHeight="false" outlineLevel="0" collapsed="false">
      <c r="A816" s="12" t="s">
        <v>1057</v>
      </c>
      <c r="B816" s="12" t="n">
        <v>15</v>
      </c>
      <c r="C816" s="12" t="s">
        <v>34</v>
      </c>
      <c r="D816" s="12" t="s">
        <v>123</v>
      </c>
      <c r="E816" s="12" t="s">
        <v>130</v>
      </c>
      <c r="F816" s="12" t="s">
        <v>131</v>
      </c>
      <c r="G816" s="12" t="s">
        <v>94</v>
      </c>
      <c r="H816" s="12" t="s">
        <v>39</v>
      </c>
      <c r="I816" s="12" t="n">
        <v>13</v>
      </c>
      <c r="J816" s="12" t="s">
        <v>40</v>
      </c>
      <c r="K816" s="12" t="s">
        <v>48</v>
      </c>
      <c r="L816" s="12" t="str">
        <f aca="false">IF(OR(H816="Severe",H816="Life-Threatening"),"Yes","No")</f>
        <v>No</v>
      </c>
      <c r="M816" s="12" t="str">
        <f aca="false">IF(B816&lt;18,"0-17",IF(B816&lt;40,"18-39",IF(B816&lt;60,"40-59","60+")))</f>
        <v>0-17</v>
      </c>
      <c r="N816" s="12" t="str">
        <f aca="false">IF(I816&lt;=1,"0-1 days",IF(I816&lt;=7,"2-7 days",IF(I816&lt;=30,"8-30 days","&gt;30 days")))</f>
        <v>8-30 days</v>
      </c>
    </row>
    <row r="817" customFormat="false" ht="15" hidden="false" customHeight="false" outlineLevel="0" collapsed="false">
      <c r="A817" s="12" t="s">
        <v>1058</v>
      </c>
      <c r="B817" s="12" t="n">
        <v>50</v>
      </c>
      <c r="C817" s="12" t="s">
        <v>34</v>
      </c>
      <c r="D817" s="12" t="s">
        <v>85</v>
      </c>
      <c r="E817" s="12" t="s">
        <v>495</v>
      </c>
      <c r="F817" s="12" t="s">
        <v>403</v>
      </c>
      <c r="G817" s="12" t="s">
        <v>80</v>
      </c>
      <c r="H817" s="12" t="s">
        <v>46</v>
      </c>
      <c r="I817" s="12" t="n">
        <v>12</v>
      </c>
      <c r="J817" s="12" t="s">
        <v>47</v>
      </c>
      <c r="K817" s="12" t="s">
        <v>147</v>
      </c>
      <c r="L817" s="12" t="str">
        <f aca="false">IF(OR(H817="Severe",H817="Life-Threatening"),"Yes","No")</f>
        <v>No</v>
      </c>
      <c r="M817" s="12" t="str">
        <f aca="false">IF(B817&lt;18,"0-17",IF(B817&lt;40,"18-39",IF(B817&lt;60,"40-59","60+")))</f>
        <v>40-59</v>
      </c>
      <c r="N817" s="12" t="str">
        <f aca="false">IF(I817&lt;=1,"0-1 days",IF(I817&lt;=7,"2-7 days",IF(I817&lt;=30,"8-30 days","&gt;30 days")))</f>
        <v>8-30 days</v>
      </c>
    </row>
    <row r="818" customFormat="false" ht="15" hidden="false" customHeight="false" outlineLevel="0" collapsed="false">
      <c r="A818" s="12" t="s">
        <v>1059</v>
      </c>
      <c r="B818" s="12" t="n">
        <v>82</v>
      </c>
      <c r="C818" s="12" t="s">
        <v>43</v>
      </c>
      <c r="D818" s="12" t="s">
        <v>82</v>
      </c>
      <c r="E818" s="12" t="s">
        <v>150</v>
      </c>
      <c r="F818" s="12" t="s">
        <v>221</v>
      </c>
      <c r="G818" s="12" t="s">
        <v>94</v>
      </c>
      <c r="H818" s="12" t="s">
        <v>59</v>
      </c>
      <c r="I818" s="12" t="n">
        <v>0</v>
      </c>
      <c r="J818" s="12" t="s">
        <v>105</v>
      </c>
      <c r="K818" s="12" t="s">
        <v>48</v>
      </c>
      <c r="L818" s="12" t="str">
        <f aca="false">IF(OR(H818="Severe",H818="Life-Threatening"),"Yes","No")</f>
        <v>Yes</v>
      </c>
      <c r="M818" s="12" t="str">
        <f aca="false">IF(B818&lt;18,"0-17",IF(B818&lt;40,"18-39",IF(B818&lt;60,"40-59","60+")))</f>
        <v>60+</v>
      </c>
      <c r="N818" s="12" t="str">
        <f aca="false">IF(I818&lt;=1,"0-1 days",IF(I818&lt;=7,"2-7 days",IF(I818&lt;=30,"8-30 days","&gt;30 days")))</f>
        <v>0-1 days</v>
      </c>
    </row>
    <row r="819" customFormat="false" ht="15" hidden="false" customHeight="false" outlineLevel="0" collapsed="false">
      <c r="A819" s="12" t="s">
        <v>1060</v>
      </c>
      <c r="B819" s="12" t="n">
        <v>30</v>
      </c>
      <c r="C819" s="12" t="s">
        <v>43</v>
      </c>
      <c r="D819" s="12" t="s">
        <v>69</v>
      </c>
      <c r="E819" s="12" t="s">
        <v>398</v>
      </c>
      <c r="F819" s="12" t="s">
        <v>37</v>
      </c>
      <c r="G819" s="12" t="s">
        <v>38</v>
      </c>
      <c r="H819" s="12" t="s">
        <v>46</v>
      </c>
      <c r="I819" s="12" t="n">
        <v>14</v>
      </c>
      <c r="J819" s="12" t="s">
        <v>40</v>
      </c>
      <c r="K819" s="12" t="s">
        <v>48</v>
      </c>
      <c r="L819" s="12" t="str">
        <f aca="false">IF(OR(H819="Severe",H819="Life-Threatening"),"Yes","No")</f>
        <v>No</v>
      </c>
      <c r="M819" s="12" t="str">
        <f aca="false">IF(B819&lt;18,"0-17",IF(B819&lt;40,"18-39",IF(B819&lt;60,"40-59","60+")))</f>
        <v>18-39</v>
      </c>
      <c r="N819" s="12" t="str">
        <f aca="false">IF(I819&lt;=1,"0-1 days",IF(I819&lt;=7,"2-7 days",IF(I819&lt;=30,"8-30 days","&gt;30 days")))</f>
        <v>8-30 days</v>
      </c>
    </row>
    <row r="820" customFormat="false" ht="15" hidden="false" customHeight="false" outlineLevel="0" collapsed="false">
      <c r="A820" s="12" t="s">
        <v>1061</v>
      </c>
      <c r="B820" s="12" t="n">
        <v>67</v>
      </c>
      <c r="C820" s="12" t="s">
        <v>43</v>
      </c>
      <c r="D820" s="12" t="s">
        <v>196</v>
      </c>
      <c r="E820" s="12" t="s">
        <v>495</v>
      </c>
      <c r="F820" s="12" t="s">
        <v>364</v>
      </c>
      <c r="G820" s="12" t="s">
        <v>38</v>
      </c>
      <c r="H820" s="12" t="s">
        <v>59</v>
      </c>
      <c r="I820" s="12" t="n">
        <v>9</v>
      </c>
      <c r="J820" s="12" t="s">
        <v>67</v>
      </c>
      <c r="K820" s="12" t="s">
        <v>48</v>
      </c>
      <c r="L820" s="12" t="str">
        <f aca="false">IF(OR(H820="Severe",H820="Life-Threatening"),"Yes","No")</f>
        <v>Yes</v>
      </c>
      <c r="M820" s="12" t="str">
        <f aca="false">IF(B820&lt;18,"0-17",IF(B820&lt;40,"18-39",IF(B820&lt;60,"40-59","60+")))</f>
        <v>60+</v>
      </c>
      <c r="N820" s="12" t="str">
        <f aca="false">IF(I820&lt;=1,"0-1 days",IF(I820&lt;=7,"2-7 days",IF(I820&lt;=30,"8-30 days","&gt;30 days")))</f>
        <v>8-30 days</v>
      </c>
    </row>
    <row r="821" customFormat="false" ht="15" hidden="false" customHeight="false" outlineLevel="0" collapsed="false">
      <c r="A821" s="12" t="s">
        <v>1062</v>
      </c>
      <c r="B821" s="12" t="n">
        <v>59</v>
      </c>
      <c r="C821" s="12" t="s">
        <v>34</v>
      </c>
      <c r="D821" s="12" t="s">
        <v>50</v>
      </c>
      <c r="E821" s="12" t="s">
        <v>656</v>
      </c>
      <c r="F821" s="12" t="s">
        <v>435</v>
      </c>
      <c r="G821" s="12" t="s">
        <v>146</v>
      </c>
      <c r="H821" s="12" t="s">
        <v>59</v>
      </c>
      <c r="I821" s="12" t="n">
        <v>22</v>
      </c>
      <c r="J821" s="12" t="s">
        <v>47</v>
      </c>
      <c r="K821" s="12" t="s">
        <v>63</v>
      </c>
      <c r="L821" s="12" t="str">
        <f aca="false">IF(OR(H821="Severe",H821="Life-Threatening"),"Yes","No")</f>
        <v>Yes</v>
      </c>
      <c r="M821" s="12" t="str">
        <f aca="false">IF(B821&lt;18,"0-17",IF(B821&lt;40,"18-39",IF(B821&lt;60,"40-59","60+")))</f>
        <v>40-59</v>
      </c>
      <c r="N821" s="12" t="str">
        <f aca="false">IF(I821&lt;=1,"0-1 days",IF(I821&lt;=7,"2-7 days",IF(I821&lt;=30,"8-30 days","&gt;30 days")))</f>
        <v>8-30 days</v>
      </c>
    </row>
    <row r="822" customFormat="false" ht="15" hidden="false" customHeight="false" outlineLevel="0" collapsed="false">
      <c r="A822" s="12" t="s">
        <v>1063</v>
      </c>
      <c r="B822" s="12" t="n">
        <v>41</v>
      </c>
      <c r="C822" s="12" t="s">
        <v>34</v>
      </c>
      <c r="D822" s="12" t="s">
        <v>55</v>
      </c>
      <c r="E822" s="12" t="s">
        <v>369</v>
      </c>
      <c r="F822" s="12" t="s">
        <v>62</v>
      </c>
      <c r="G822" s="12" t="s">
        <v>53</v>
      </c>
      <c r="H822" s="12" t="s">
        <v>39</v>
      </c>
      <c r="I822" s="12" t="n">
        <v>18</v>
      </c>
      <c r="J822" s="12" t="s">
        <v>40</v>
      </c>
      <c r="K822" s="12" t="s">
        <v>48</v>
      </c>
      <c r="L822" s="12" t="str">
        <f aca="false">IF(OR(H822="Severe",H822="Life-Threatening"),"Yes","No")</f>
        <v>No</v>
      </c>
      <c r="M822" s="12" t="str">
        <f aca="false">IF(B822&lt;18,"0-17",IF(B822&lt;40,"18-39",IF(B822&lt;60,"40-59","60+")))</f>
        <v>40-59</v>
      </c>
      <c r="N822" s="12" t="str">
        <f aca="false">IF(I822&lt;=1,"0-1 days",IF(I822&lt;=7,"2-7 days",IF(I822&lt;=30,"8-30 days","&gt;30 days")))</f>
        <v>8-30 days</v>
      </c>
    </row>
    <row r="823" customFormat="false" ht="15" hidden="false" customHeight="false" outlineLevel="0" collapsed="false">
      <c r="A823" s="12" t="s">
        <v>1064</v>
      </c>
      <c r="B823" s="12" t="n">
        <v>48</v>
      </c>
      <c r="C823" s="12" t="s">
        <v>43</v>
      </c>
      <c r="D823" s="12" t="s">
        <v>55</v>
      </c>
      <c r="E823" s="12" t="s">
        <v>386</v>
      </c>
      <c r="F823" s="12" t="s">
        <v>62</v>
      </c>
      <c r="G823" s="12" t="s">
        <v>53</v>
      </c>
      <c r="H823" s="12" t="s">
        <v>46</v>
      </c>
      <c r="I823" s="12" t="n">
        <v>23</v>
      </c>
      <c r="J823" s="12" t="s">
        <v>47</v>
      </c>
      <c r="K823" s="12" t="s">
        <v>63</v>
      </c>
      <c r="L823" s="12" t="str">
        <f aca="false">IF(OR(H823="Severe",H823="Life-Threatening"),"Yes","No")</f>
        <v>No</v>
      </c>
      <c r="M823" s="12" t="str">
        <f aca="false">IF(B823&lt;18,"0-17",IF(B823&lt;40,"18-39",IF(B823&lt;60,"40-59","60+")))</f>
        <v>40-59</v>
      </c>
      <c r="N823" s="12" t="str">
        <f aca="false">IF(I823&lt;=1,"0-1 days",IF(I823&lt;=7,"2-7 days",IF(I823&lt;=30,"8-30 days","&gt;30 days")))</f>
        <v>8-30 days</v>
      </c>
    </row>
    <row r="824" customFormat="false" ht="15" hidden="false" customHeight="false" outlineLevel="0" collapsed="false">
      <c r="A824" s="12" t="s">
        <v>1065</v>
      </c>
      <c r="B824" s="12" t="n">
        <v>77</v>
      </c>
      <c r="C824" s="12" t="s">
        <v>34</v>
      </c>
      <c r="D824" s="12" t="s">
        <v>55</v>
      </c>
      <c r="E824" s="12" t="s">
        <v>150</v>
      </c>
      <c r="F824" s="12" t="s">
        <v>151</v>
      </c>
      <c r="G824" s="12" t="s">
        <v>152</v>
      </c>
      <c r="H824" s="12" t="s">
        <v>76</v>
      </c>
      <c r="I824" s="12" t="n">
        <v>0</v>
      </c>
      <c r="J824" s="12" t="s">
        <v>169</v>
      </c>
      <c r="K824" s="12" t="s">
        <v>63</v>
      </c>
      <c r="L824" s="12" t="str">
        <f aca="false">IF(OR(H824="Severe",H824="Life-Threatening"),"Yes","No")</f>
        <v>Yes</v>
      </c>
      <c r="M824" s="12" t="str">
        <f aca="false">IF(B824&lt;18,"0-17",IF(B824&lt;40,"18-39",IF(B824&lt;60,"40-59","60+")))</f>
        <v>60+</v>
      </c>
      <c r="N824" s="12" t="str">
        <f aca="false">IF(I824&lt;=1,"0-1 days",IF(I824&lt;=7,"2-7 days",IF(I824&lt;=30,"8-30 days","&gt;30 days")))</f>
        <v>0-1 days</v>
      </c>
    </row>
    <row r="825" customFormat="false" ht="15" hidden="false" customHeight="false" outlineLevel="0" collapsed="false">
      <c r="A825" s="12" t="s">
        <v>1066</v>
      </c>
      <c r="B825" s="12" t="n">
        <v>57</v>
      </c>
      <c r="C825" s="12" t="s">
        <v>43</v>
      </c>
      <c r="D825" s="12" t="s">
        <v>327</v>
      </c>
      <c r="E825" s="12" t="s">
        <v>74</v>
      </c>
      <c r="F825" s="12" t="s">
        <v>75</v>
      </c>
      <c r="G825" s="12" t="s">
        <v>58</v>
      </c>
      <c r="H825" s="12" t="s">
        <v>76</v>
      </c>
      <c r="I825" s="12" t="n">
        <v>0</v>
      </c>
      <c r="J825" s="12" t="s">
        <v>40</v>
      </c>
      <c r="K825" s="12" t="s">
        <v>48</v>
      </c>
      <c r="L825" s="12" t="str">
        <f aca="false">IF(OR(H825="Severe",H825="Life-Threatening"),"Yes","No")</f>
        <v>Yes</v>
      </c>
      <c r="M825" s="12" t="str">
        <f aca="false">IF(B825&lt;18,"0-17",IF(B825&lt;40,"18-39",IF(B825&lt;60,"40-59","60+")))</f>
        <v>40-59</v>
      </c>
      <c r="N825" s="12" t="str">
        <f aca="false">IF(I825&lt;=1,"0-1 days",IF(I825&lt;=7,"2-7 days",IF(I825&lt;=30,"8-30 days","&gt;30 days")))</f>
        <v>0-1 days</v>
      </c>
    </row>
    <row r="826" customFormat="false" ht="15" hidden="false" customHeight="false" outlineLevel="0" collapsed="false">
      <c r="A826" s="12" t="s">
        <v>1067</v>
      </c>
      <c r="B826" s="12" t="n">
        <v>28</v>
      </c>
      <c r="C826" s="12" t="s">
        <v>43</v>
      </c>
      <c r="D826" s="12" t="s">
        <v>69</v>
      </c>
      <c r="E826" s="12" t="s">
        <v>266</v>
      </c>
      <c r="F826" s="12" t="s">
        <v>114</v>
      </c>
      <c r="G826" s="12" t="s">
        <v>115</v>
      </c>
      <c r="H826" s="12" t="s">
        <v>39</v>
      </c>
      <c r="I826" s="12" t="n">
        <v>33</v>
      </c>
      <c r="J826" s="12" t="s">
        <v>47</v>
      </c>
      <c r="K826" s="12" t="s">
        <v>48</v>
      </c>
      <c r="L826" s="12" t="str">
        <f aca="false">IF(OR(H826="Severe",H826="Life-Threatening"),"Yes","No")</f>
        <v>No</v>
      </c>
      <c r="M826" s="12" t="str">
        <f aca="false">IF(B826&lt;18,"0-17",IF(B826&lt;40,"18-39",IF(B826&lt;60,"40-59","60+")))</f>
        <v>18-39</v>
      </c>
      <c r="N826" s="12" t="str">
        <f aca="false">IF(I826&lt;=1,"0-1 days",IF(I826&lt;=7,"2-7 days",IF(I826&lt;=30,"8-30 days","&gt;30 days")))</f>
        <v>&gt;30 days</v>
      </c>
    </row>
    <row r="827" customFormat="false" ht="15" hidden="false" customHeight="false" outlineLevel="0" collapsed="false">
      <c r="A827" s="12" t="s">
        <v>1068</v>
      </c>
      <c r="B827" s="12" t="n">
        <v>51</v>
      </c>
      <c r="C827" s="12" t="s">
        <v>43</v>
      </c>
      <c r="D827" s="12" t="s">
        <v>35</v>
      </c>
      <c r="E827" s="12" t="s">
        <v>121</v>
      </c>
      <c r="F827" s="12" t="s">
        <v>45</v>
      </c>
      <c r="G827" s="12" t="s">
        <v>38</v>
      </c>
      <c r="H827" s="12" t="s">
        <v>39</v>
      </c>
      <c r="I827" s="12" t="n">
        <v>17</v>
      </c>
      <c r="J827" s="12" t="s">
        <v>40</v>
      </c>
      <c r="K827" s="12" t="s">
        <v>63</v>
      </c>
      <c r="L827" s="12" t="str">
        <f aca="false">IF(OR(H827="Severe",H827="Life-Threatening"),"Yes","No")</f>
        <v>No</v>
      </c>
      <c r="M827" s="12" t="str">
        <f aca="false">IF(B827&lt;18,"0-17",IF(B827&lt;40,"18-39",IF(B827&lt;60,"40-59","60+")))</f>
        <v>40-59</v>
      </c>
      <c r="N827" s="12" t="str">
        <f aca="false">IF(I827&lt;=1,"0-1 days",IF(I827&lt;=7,"2-7 days",IF(I827&lt;=30,"8-30 days","&gt;30 days")))</f>
        <v>8-30 days</v>
      </c>
    </row>
    <row r="828" customFormat="false" ht="15" hidden="false" customHeight="false" outlineLevel="0" collapsed="false">
      <c r="A828" s="12" t="s">
        <v>1069</v>
      </c>
      <c r="B828" s="12" t="n">
        <v>18</v>
      </c>
      <c r="C828" s="12" t="s">
        <v>34</v>
      </c>
      <c r="D828" s="12" t="s">
        <v>112</v>
      </c>
      <c r="E828" s="12" t="s">
        <v>74</v>
      </c>
      <c r="F828" s="12" t="s">
        <v>214</v>
      </c>
      <c r="G828" s="12" t="s">
        <v>115</v>
      </c>
      <c r="H828" s="12" t="s">
        <v>46</v>
      </c>
      <c r="I828" s="12" t="n">
        <v>11</v>
      </c>
      <c r="J828" s="12" t="s">
        <v>40</v>
      </c>
      <c r="K828" s="12" t="s">
        <v>48</v>
      </c>
      <c r="L828" s="12" t="str">
        <f aca="false">IF(OR(H828="Severe",H828="Life-Threatening"),"Yes","No")</f>
        <v>No</v>
      </c>
      <c r="M828" s="12" t="str">
        <f aca="false">IF(B828&lt;18,"0-17",IF(B828&lt;40,"18-39",IF(B828&lt;60,"40-59","60+")))</f>
        <v>18-39</v>
      </c>
      <c r="N828" s="12" t="str">
        <f aca="false">IF(I828&lt;=1,"0-1 days",IF(I828&lt;=7,"2-7 days",IF(I828&lt;=30,"8-30 days","&gt;30 days")))</f>
        <v>8-30 days</v>
      </c>
    </row>
    <row r="829" customFormat="false" ht="15" hidden="false" customHeight="false" outlineLevel="0" collapsed="false">
      <c r="A829" s="12" t="s">
        <v>1070</v>
      </c>
      <c r="B829" s="12" t="n">
        <v>40</v>
      </c>
      <c r="C829" s="12" t="s">
        <v>43</v>
      </c>
      <c r="D829" s="12" t="s">
        <v>155</v>
      </c>
      <c r="E829" s="12" t="s">
        <v>200</v>
      </c>
      <c r="F829" s="12" t="s">
        <v>403</v>
      </c>
      <c r="G829" s="12" t="s">
        <v>80</v>
      </c>
      <c r="H829" s="12" t="s">
        <v>39</v>
      </c>
      <c r="I829" s="12" t="n">
        <v>1</v>
      </c>
      <c r="J829" s="12" t="s">
        <v>169</v>
      </c>
      <c r="K829" s="12" t="s">
        <v>48</v>
      </c>
      <c r="L829" s="12" t="str">
        <f aca="false">IF(OR(H829="Severe",H829="Life-Threatening"),"Yes","No")</f>
        <v>No</v>
      </c>
      <c r="M829" s="12" t="str">
        <f aca="false">IF(B829&lt;18,"0-17",IF(B829&lt;40,"18-39",IF(B829&lt;60,"40-59","60+")))</f>
        <v>40-59</v>
      </c>
      <c r="N829" s="12" t="str">
        <f aca="false">IF(I829&lt;=1,"0-1 days",IF(I829&lt;=7,"2-7 days",IF(I829&lt;=30,"8-30 days","&gt;30 days")))</f>
        <v>0-1 days</v>
      </c>
    </row>
    <row r="830" customFormat="false" ht="15" hidden="false" customHeight="false" outlineLevel="0" collapsed="false">
      <c r="A830" s="12" t="s">
        <v>1071</v>
      </c>
      <c r="B830" s="12" t="n">
        <v>60</v>
      </c>
      <c r="C830" s="12" t="s">
        <v>34</v>
      </c>
      <c r="D830" s="12" t="s">
        <v>55</v>
      </c>
      <c r="E830" s="12" t="s">
        <v>243</v>
      </c>
      <c r="F830" s="12" t="s">
        <v>45</v>
      </c>
      <c r="G830" s="12" t="s">
        <v>38</v>
      </c>
      <c r="H830" s="12" t="s">
        <v>39</v>
      </c>
      <c r="I830" s="12" t="n">
        <v>5</v>
      </c>
      <c r="J830" s="12" t="s">
        <v>47</v>
      </c>
      <c r="K830" s="12" t="s">
        <v>48</v>
      </c>
      <c r="L830" s="12" t="str">
        <f aca="false">IF(OR(H830="Severe",H830="Life-Threatening"),"Yes","No")</f>
        <v>No</v>
      </c>
      <c r="M830" s="12" t="str">
        <f aca="false">IF(B830&lt;18,"0-17",IF(B830&lt;40,"18-39",IF(B830&lt;60,"40-59","60+")))</f>
        <v>60+</v>
      </c>
      <c r="N830" s="12" t="str">
        <f aca="false">IF(I830&lt;=1,"0-1 days",IF(I830&lt;=7,"2-7 days",IF(I830&lt;=30,"8-30 days","&gt;30 days")))</f>
        <v>2-7 days</v>
      </c>
    </row>
    <row r="831" customFormat="false" ht="15" hidden="false" customHeight="false" outlineLevel="0" collapsed="false">
      <c r="A831" s="12" t="s">
        <v>1072</v>
      </c>
      <c r="B831" s="12" t="n">
        <v>57</v>
      </c>
      <c r="C831" s="12" t="s">
        <v>43</v>
      </c>
      <c r="D831" s="12" t="s">
        <v>55</v>
      </c>
      <c r="E831" s="12" t="s">
        <v>386</v>
      </c>
      <c r="F831" s="12" t="s">
        <v>114</v>
      </c>
      <c r="G831" s="12" t="s">
        <v>115</v>
      </c>
      <c r="H831" s="12" t="s">
        <v>59</v>
      </c>
      <c r="I831" s="12" t="n">
        <v>18</v>
      </c>
      <c r="J831" s="12" t="s">
        <v>105</v>
      </c>
      <c r="K831" s="12" t="s">
        <v>48</v>
      </c>
      <c r="L831" s="12" t="str">
        <f aca="false">IF(OR(H831="Severe",H831="Life-Threatening"),"Yes","No")</f>
        <v>Yes</v>
      </c>
      <c r="M831" s="12" t="str">
        <f aca="false">IF(B831&lt;18,"0-17",IF(B831&lt;40,"18-39",IF(B831&lt;60,"40-59","60+")))</f>
        <v>40-59</v>
      </c>
      <c r="N831" s="12" t="str">
        <f aca="false">IF(I831&lt;=1,"0-1 days",IF(I831&lt;=7,"2-7 days",IF(I831&lt;=30,"8-30 days","&gt;30 days")))</f>
        <v>8-30 days</v>
      </c>
    </row>
    <row r="832" customFormat="false" ht="15" hidden="false" customHeight="false" outlineLevel="0" collapsed="false">
      <c r="A832" s="12" t="s">
        <v>1073</v>
      </c>
      <c r="B832" s="12" t="n">
        <v>28</v>
      </c>
      <c r="C832" s="12" t="s">
        <v>43</v>
      </c>
      <c r="D832" s="12" t="s">
        <v>91</v>
      </c>
      <c r="E832" s="12" t="s">
        <v>227</v>
      </c>
      <c r="F832" s="12" t="s">
        <v>214</v>
      </c>
      <c r="G832" s="12" t="s">
        <v>115</v>
      </c>
      <c r="H832" s="12" t="s">
        <v>46</v>
      </c>
      <c r="I832" s="12" t="n">
        <v>27</v>
      </c>
      <c r="J832" s="12" t="s">
        <v>40</v>
      </c>
      <c r="K832" s="12" t="s">
        <v>63</v>
      </c>
      <c r="L832" s="12" t="str">
        <f aca="false">IF(OR(H832="Severe",H832="Life-Threatening"),"Yes","No")</f>
        <v>No</v>
      </c>
      <c r="M832" s="12" t="str">
        <f aca="false">IF(B832&lt;18,"0-17",IF(B832&lt;40,"18-39",IF(B832&lt;60,"40-59","60+")))</f>
        <v>18-39</v>
      </c>
      <c r="N832" s="12" t="str">
        <f aca="false">IF(I832&lt;=1,"0-1 days",IF(I832&lt;=7,"2-7 days",IF(I832&lt;=30,"8-30 days","&gt;30 days")))</f>
        <v>8-30 days</v>
      </c>
    </row>
    <row r="833" customFormat="false" ht="15" hidden="false" customHeight="false" outlineLevel="0" collapsed="false">
      <c r="A833" s="12" t="s">
        <v>1074</v>
      </c>
      <c r="B833" s="12" t="n">
        <v>58</v>
      </c>
      <c r="C833" s="12" t="s">
        <v>43</v>
      </c>
      <c r="D833" s="12" t="s">
        <v>55</v>
      </c>
      <c r="E833" s="12" t="s">
        <v>530</v>
      </c>
      <c r="F833" s="12" t="s">
        <v>62</v>
      </c>
      <c r="G833" s="12" t="s">
        <v>53</v>
      </c>
      <c r="H833" s="12" t="s">
        <v>39</v>
      </c>
      <c r="I833" s="12" t="n">
        <v>25</v>
      </c>
      <c r="J833" s="12" t="s">
        <v>40</v>
      </c>
      <c r="K833" s="12" t="s">
        <v>147</v>
      </c>
      <c r="L833" s="12" t="str">
        <f aca="false">IF(OR(H833="Severe",H833="Life-Threatening"),"Yes","No")</f>
        <v>No</v>
      </c>
      <c r="M833" s="12" t="str">
        <f aca="false">IF(B833&lt;18,"0-17",IF(B833&lt;40,"18-39",IF(B833&lt;60,"40-59","60+")))</f>
        <v>40-59</v>
      </c>
      <c r="N833" s="12" t="str">
        <f aca="false">IF(I833&lt;=1,"0-1 days",IF(I833&lt;=7,"2-7 days",IF(I833&lt;=30,"8-30 days","&gt;30 days")))</f>
        <v>8-30 days</v>
      </c>
    </row>
    <row r="834" customFormat="false" ht="15" hidden="false" customHeight="false" outlineLevel="0" collapsed="false">
      <c r="A834" s="12" t="s">
        <v>1075</v>
      </c>
      <c r="B834" s="12" t="n">
        <v>20</v>
      </c>
      <c r="C834" s="12" t="s">
        <v>43</v>
      </c>
      <c r="D834" s="12" t="s">
        <v>35</v>
      </c>
      <c r="E834" s="12" t="s">
        <v>495</v>
      </c>
      <c r="F834" s="12" t="s">
        <v>403</v>
      </c>
      <c r="G834" s="12" t="s">
        <v>80</v>
      </c>
      <c r="H834" s="12" t="s">
        <v>46</v>
      </c>
      <c r="I834" s="12" t="n">
        <v>7</v>
      </c>
      <c r="J834" s="12" t="s">
        <v>40</v>
      </c>
      <c r="K834" s="12" t="s">
        <v>63</v>
      </c>
      <c r="L834" s="12" t="str">
        <f aca="false">IF(OR(H834="Severe",H834="Life-Threatening"),"Yes","No")</f>
        <v>No</v>
      </c>
      <c r="M834" s="12" t="str">
        <f aca="false">IF(B834&lt;18,"0-17",IF(B834&lt;40,"18-39",IF(B834&lt;60,"40-59","60+")))</f>
        <v>18-39</v>
      </c>
      <c r="N834" s="12" t="str">
        <f aca="false">IF(I834&lt;=1,"0-1 days",IF(I834&lt;=7,"2-7 days",IF(I834&lt;=30,"8-30 days","&gt;30 days")))</f>
        <v>2-7 days</v>
      </c>
    </row>
    <row r="835" customFormat="false" ht="15" hidden="false" customHeight="false" outlineLevel="0" collapsed="false">
      <c r="A835" s="12" t="s">
        <v>1076</v>
      </c>
      <c r="B835" s="12" t="n">
        <v>35</v>
      </c>
      <c r="C835" s="12" t="s">
        <v>43</v>
      </c>
      <c r="D835" s="12" t="s">
        <v>99</v>
      </c>
      <c r="E835" s="12" t="s">
        <v>266</v>
      </c>
      <c r="F835" s="12" t="s">
        <v>214</v>
      </c>
      <c r="G835" s="12" t="s">
        <v>115</v>
      </c>
      <c r="H835" s="12" t="s">
        <v>46</v>
      </c>
      <c r="I835" s="12" t="n">
        <v>1</v>
      </c>
      <c r="J835" s="12" t="s">
        <v>47</v>
      </c>
      <c r="K835" s="12" t="s">
        <v>63</v>
      </c>
      <c r="L835" s="12" t="str">
        <f aca="false">IF(OR(H835="Severe",H835="Life-Threatening"),"Yes","No")</f>
        <v>No</v>
      </c>
      <c r="M835" s="12" t="str">
        <f aca="false">IF(B835&lt;18,"0-17",IF(B835&lt;40,"18-39",IF(B835&lt;60,"40-59","60+")))</f>
        <v>18-39</v>
      </c>
      <c r="N835" s="12" t="str">
        <f aca="false">IF(I835&lt;=1,"0-1 days",IF(I835&lt;=7,"2-7 days",IF(I835&lt;=30,"8-30 days","&gt;30 days")))</f>
        <v>0-1 days</v>
      </c>
    </row>
    <row r="836" customFormat="false" ht="15" hidden="false" customHeight="false" outlineLevel="0" collapsed="false">
      <c r="A836" s="12" t="s">
        <v>1077</v>
      </c>
      <c r="B836" s="12" t="n">
        <v>71</v>
      </c>
      <c r="C836" s="12" t="s">
        <v>43</v>
      </c>
      <c r="D836" s="12" t="s">
        <v>102</v>
      </c>
      <c r="E836" s="12" t="s">
        <v>179</v>
      </c>
      <c r="F836" s="12" t="s">
        <v>45</v>
      </c>
      <c r="G836" s="12" t="s">
        <v>38</v>
      </c>
      <c r="H836" s="12" t="s">
        <v>46</v>
      </c>
      <c r="I836" s="12" t="n">
        <v>27</v>
      </c>
      <c r="J836" s="12" t="s">
        <v>40</v>
      </c>
      <c r="K836" s="12" t="s">
        <v>48</v>
      </c>
      <c r="L836" s="12" t="str">
        <f aca="false">IF(OR(H836="Severe",H836="Life-Threatening"),"Yes","No")</f>
        <v>No</v>
      </c>
      <c r="M836" s="12" t="str">
        <f aca="false">IF(B836&lt;18,"0-17",IF(B836&lt;40,"18-39",IF(B836&lt;60,"40-59","60+")))</f>
        <v>60+</v>
      </c>
      <c r="N836" s="12" t="str">
        <f aca="false">IF(I836&lt;=1,"0-1 days",IF(I836&lt;=7,"2-7 days",IF(I836&lt;=30,"8-30 days","&gt;30 days")))</f>
        <v>8-30 days</v>
      </c>
    </row>
    <row r="837" customFormat="false" ht="15" hidden="false" customHeight="false" outlineLevel="0" collapsed="false">
      <c r="A837" s="12" t="s">
        <v>1078</v>
      </c>
      <c r="B837" s="12" t="n">
        <v>56</v>
      </c>
      <c r="C837" s="12" t="s">
        <v>43</v>
      </c>
      <c r="D837" s="12" t="s">
        <v>196</v>
      </c>
      <c r="E837" s="12" t="s">
        <v>36</v>
      </c>
      <c r="F837" s="12" t="s">
        <v>37</v>
      </c>
      <c r="G837" s="12" t="s">
        <v>38</v>
      </c>
      <c r="H837" s="12" t="s">
        <v>46</v>
      </c>
      <c r="I837" s="12" t="n">
        <v>2</v>
      </c>
      <c r="J837" s="12" t="s">
        <v>40</v>
      </c>
      <c r="K837" s="12" t="s">
        <v>48</v>
      </c>
      <c r="L837" s="12" t="str">
        <f aca="false">IF(OR(H837="Severe",H837="Life-Threatening"),"Yes","No")</f>
        <v>No</v>
      </c>
      <c r="M837" s="12" t="str">
        <f aca="false">IF(B837&lt;18,"0-17",IF(B837&lt;40,"18-39",IF(B837&lt;60,"40-59","60+")))</f>
        <v>40-59</v>
      </c>
      <c r="N837" s="12" t="str">
        <f aca="false">IF(I837&lt;=1,"0-1 days",IF(I837&lt;=7,"2-7 days",IF(I837&lt;=30,"8-30 days","&gt;30 days")))</f>
        <v>2-7 days</v>
      </c>
    </row>
    <row r="838" customFormat="false" ht="15" hidden="false" customHeight="false" outlineLevel="0" collapsed="false">
      <c r="A838" s="12" t="s">
        <v>1079</v>
      </c>
      <c r="B838" s="12" t="n">
        <v>32</v>
      </c>
      <c r="C838" s="12" t="s">
        <v>43</v>
      </c>
      <c r="D838" s="12" t="s">
        <v>144</v>
      </c>
      <c r="E838" s="12" t="s">
        <v>36</v>
      </c>
      <c r="F838" s="12" t="s">
        <v>37</v>
      </c>
      <c r="G838" s="12" t="s">
        <v>38</v>
      </c>
      <c r="H838" s="12" t="s">
        <v>39</v>
      </c>
      <c r="I838" s="12" t="n">
        <v>14</v>
      </c>
      <c r="J838" s="12" t="s">
        <v>40</v>
      </c>
      <c r="K838" s="12" t="s">
        <v>41</v>
      </c>
      <c r="L838" s="12" t="str">
        <f aca="false">IF(OR(H838="Severe",H838="Life-Threatening"),"Yes","No")</f>
        <v>No</v>
      </c>
      <c r="M838" s="12" t="str">
        <f aca="false">IF(B838&lt;18,"0-17",IF(B838&lt;40,"18-39",IF(B838&lt;60,"40-59","60+")))</f>
        <v>18-39</v>
      </c>
      <c r="N838" s="12" t="str">
        <f aca="false">IF(I838&lt;=1,"0-1 days",IF(I838&lt;=7,"2-7 days",IF(I838&lt;=30,"8-30 days","&gt;30 days")))</f>
        <v>8-30 days</v>
      </c>
    </row>
    <row r="839" customFormat="false" ht="15" hidden="false" customHeight="false" outlineLevel="0" collapsed="false">
      <c r="A839" s="12" t="s">
        <v>1080</v>
      </c>
      <c r="B839" s="12" t="n">
        <v>40</v>
      </c>
      <c r="C839" s="12" t="s">
        <v>34</v>
      </c>
      <c r="D839" s="12" t="s">
        <v>231</v>
      </c>
      <c r="E839" s="12" t="s">
        <v>227</v>
      </c>
      <c r="F839" s="12" t="s">
        <v>264</v>
      </c>
      <c r="G839" s="12" t="s">
        <v>104</v>
      </c>
      <c r="H839" s="12" t="s">
        <v>76</v>
      </c>
      <c r="I839" s="12" t="n">
        <v>25</v>
      </c>
      <c r="J839" s="12" t="s">
        <v>105</v>
      </c>
      <c r="K839" s="12" t="s">
        <v>48</v>
      </c>
      <c r="L839" s="12" t="str">
        <f aca="false">IF(OR(H839="Severe",H839="Life-Threatening"),"Yes","No")</f>
        <v>Yes</v>
      </c>
      <c r="M839" s="12" t="str">
        <f aca="false">IF(B839&lt;18,"0-17",IF(B839&lt;40,"18-39",IF(B839&lt;60,"40-59","60+")))</f>
        <v>40-59</v>
      </c>
      <c r="N839" s="12" t="str">
        <f aca="false">IF(I839&lt;=1,"0-1 days",IF(I839&lt;=7,"2-7 days",IF(I839&lt;=30,"8-30 days","&gt;30 days")))</f>
        <v>8-30 days</v>
      </c>
    </row>
    <row r="840" customFormat="false" ht="15" hidden="false" customHeight="false" outlineLevel="0" collapsed="false">
      <c r="A840" s="12" t="s">
        <v>1081</v>
      </c>
      <c r="B840" s="12" t="n">
        <v>72</v>
      </c>
      <c r="C840" s="12" t="s">
        <v>34</v>
      </c>
      <c r="D840" s="12" t="s">
        <v>69</v>
      </c>
      <c r="E840" s="12" t="s">
        <v>315</v>
      </c>
      <c r="F840" s="12" t="s">
        <v>62</v>
      </c>
      <c r="G840" s="12" t="s">
        <v>53</v>
      </c>
      <c r="H840" s="12" t="s">
        <v>46</v>
      </c>
      <c r="I840" s="12" t="n">
        <v>7</v>
      </c>
      <c r="J840" s="12" t="s">
        <v>47</v>
      </c>
      <c r="K840" s="12" t="s">
        <v>48</v>
      </c>
      <c r="L840" s="12" t="str">
        <f aca="false">IF(OR(H840="Severe",H840="Life-Threatening"),"Yes","No")</f>
        <v>No</v>
      </c>
      <c r="M840" s="12" t="str">
        <f aca="false">IF(B840&lt;18,"0-17",IF(B840&lt;40,"18-39",IF(B840&lt;60,"40-59","60+")))</f>
        <v>60+</v>
      </c>
      <c r="N840" s="12" t="str">
        <f aca="false">IF(I840&lt;=1,"0-1 days",IF(I840&lt;=7,"2-7 days",IF(I840&lt;=30,"8-30 days","&gt;30 days")))</f>
        <v>2-7 days</v>
      </c>
    </row>
    <row r="841" customFormat="false" ht="15" hidden="false" customHeight="false" outlineLevel="0" collapsed="false">
      <c r="A841" s="12" t="s">
        <v>1082</v>
      </c>
      <c r="B841" s="12" t="n">
        <v>29</v>
      </c>
      <c r="C841" s="12" t="s">
        <v>43</v>
      </c>
      <c r="D841" s="12" t="s">
        <v>69</v>
      </c>
      <c r="E841" s="12" t="s">
        <v>127</v>
      </c>
      <c r="F841" s="12" t="s">
        <v>325</v>
      </c>
      <c r="G841" s="12" t="s">
        <v>177</v>
      </c>
      <c r="H841" s="12" t="s">
        <v>59</v>
      </c>
      <c r="I841" s="12" t="n">
        <v>17</v>
      </c>
      <c r="J841" s="12" t="s">
        <v>67</v>
      </c>
      <c r="K841" s="12" t="s">
        <v>48</v>
      </c>
      <c r="L841" s="12" t="str">
        <f aca="false">IF(OR(H841="Severe",H841="Life-Threatening"),"Yes","No")</f>
        <v>Yes</v>
      </c>
      <c r="M841" s="12" t="str">
        <f aca="false">IF(B841&lt;18,"0-17",IF(B841&lt;40,"18-39",IF(B841&lt;60,"40-59","60+")))</f>
        <v>18-39</v>
      </c>
      <c r="N841" s="12" t="str">
        <f aca="false">IF(I841&lt;=1,"0-1 days",IF(I841&lt;=7,"2-7 days",IF(I841&lt;=30,"8-30 days","&gt;30 days")))</f>
        <v>8-30 days</v>
      </c>
    </row>
    <row r="842" customFormat="false" ht="15" hidden="false" customHeight="false" outlineLevel="0" collapsed="false">
      <c r="A842" s="12" t="s">
        <v>1083</v>
      </c>
      <c r="B842" s="12" t="n">
        <v>66</v>
      </c>
      <c r="C842" s="12" t="s">
        <v>34</v>
      </c>
      <c r="D842" s="12" t="s">
        <v>35</v>
      </c>
      <c r="E842" s="12" t="s">
        <v>243</v>
      </c>
      <c r="F842" s="12" t="s">
        <v>139</v>
      </c>
      <c r="G842" s="12" t="s">
        <v>38</v>
      </c>
      <c r="H842" s="12" t="s">
        <v>46</v>
      </c>
      <c r="I842" s="12" t="n">
        <v>30</v>
      </c>
      <c r="J842" s="12" t="s">
        <v>40</v>
      </c>
      <c r="K842" s="12" t="s">
        <v>48</v>
      </c>
      <c r="L842" s="12" t="str">
        <f aca="false">IF(OR(H842="Severe",H842="Life-Threatening"),"Yes","No")</f>
        <v>No</v>
      </c>
      <c r="M842" s="12" t="str">
        <f aca="false">IF(B842&lt;18,"0-17",IF(B842&lt;40,"18-39",IF(B842&lt;60,"40-59","60+")))</f>
        <v>60+</v>
      </c>
      <c r="N842" s="12" t="str">
        <f aca="false">IF(I842&lt;=1,"0-1 days",IF(I842&lt;=7,"2-7 days",IF(I842&lt;=30,"8-30 days","&gt;30 days")))</f>
        <v>8-30 days</v>
      </c>
    </row>
    <row r="843" customFormat="false" ht="15" hidden="false" customHeight="false" outlineLevel="0" collapsed="false">
      <c r="A843" s="12" t="s">
        <v>1084</v>
      </c>
      <c r="B843" s="12" t="n">
        <v>32</v>
      </c>
      <c r="C843" s="12" t="s">
        <v>34</v>
      </c>
      <c r="D843" s="12" t="s">
        <v>55</v>
      </c>
      <c r="E843" s="12" t="s">
        <v>307</v>
      </c>
      <c r="F843" s="12" t="s">
        <v>62</v>
      </c>
      <c r="G843" s="12" t="s">
        <v>53</v>
      </c>
      <c r="H843" s="12" t="s">
        <v>46</v>
      </c>
      <c r="I843" s="12" t="n">
        <v>27</v>
      </c>
      <c r="J843" s="12" t="s">
        <v>40</v>
      </c>
      <c r="K843" s="12" t="s">
        <v>63</v>
      </c>
      <c r="L843" s="12" t="str">
        <f aca="false">IF(OR(H843="Severe",H843="Life-Threatening"),"Yes","No")</f>
        <v>No</v>
      </c>
      <c r="M843" s="12" t="str">
        <f aca="false">IF(B843&lt;18,"0-17",IF(B843&lt;40,"18-39",IF(B843&lt;60,"40-59","60+")))</f>
        <v>18-39</v>
      </c>
      <c r="N843" s="12" t="str">
        <f aca="false">IF(I843&lt;=1,"0-1 days",IF(I843&lt;=7,"2-7 days",IF(I843&lt;=30,"8-30 days","&gt;30 days")))</f>
        <v>8-30 days</v>
      </c>
    </row>
    <row r="844" customFormat="false" ht="15" hidden="false" customHeight="false" outlineLevel="0" collapsed="false">
      <c r="A844" s="12" t="s">
        <v>1085</v>
      </c>
      <c r="B844" s="12" t="n">
        <v>29</v>
      </c>
      <c r="C844" s="12" t="s">
        <v>43</v>
      </c>
      <c r="D844" s="12" t="s">
        <v>91</v>
      </c>
      <c r="E844" s="12" t="s">
        <v>272</v>
      </c>
      <c r="F844" s="12" t="s">
        <v>62</v>
      </c>
      <c r="G844" s="12" t="s">
        <v>53</v>
      </c>
      <c r="H844" s="12" t="s">
        <v>39</v>
      </c>
      <c r="I844" s="12" t="n">
        <v>25</v>
      </c>
      <c r="J844" s="12" t="s">
        <v>169</v>
      </c>
      <c r="K844" s="12" t="s">
        <v>63</v>
      </c>
      <c r="L844" s="12" t="str">
        <f aca="false">IF(OR(H844="Severe",H844="Life-Threatening"),"Yes","No")</f>
        <v>No</v>
      </c>
      <c r="M844" s="12" t="str">
        <f aca="false">IF(B844&lt;18,"0-17",IF(B844&lt;40,"18-39",IF(B844&lt;60,"40-59","60+")))</f>
        <v>18-39</v>
      </c>
      <c r="N844" s="12" t="str">
        <f aca="false">IF(I844&lt;=1,"0-1 days",IF(I844&lt;=7,"2-7 days",IF(I844&lt;=30,"8-30 days","&gt;30 days")))</f>
        <v>8-30 days</v>
      </c>
    </row>
    <row r="845" customFormat="false" ht="15" hidden="false" customHeight="false" outlineLevel="0" collapsed="false">
      <c r="A845" s="12" t="s">
        <v>1086</v>
      </c>
      <c r="B845" s="12" t="n">
        <v>39</v>
      </c>
      <c r="C845" s="12" t="s">
        <v>34</v>
      </c>
      <c r="D845" s="12" t="s">
        <v>35</v>
      </c>
      <c r="E845" s="12" t="s">
        <v>229</v>
      </c>
      <c r="F845" s="12" t="s">
        <v>214</v>
      </c>
      <c r="G845" s="12" t="s">
        <v>115</v>
      </c>
      <c r="H845" s="12" t="s">
        <v>46</v>
      </c>
      <c r="I845" s="12" t="n">
        <v>1</v>
      </c>
      <c r="J845" s="12" t="s">
        <v>40</v>
      </c>
      <c r="K845" s="12" t="s">
        <v>48</v>
      </c>
      <c r="L845" s="12" t="str">
        <f aca="false">IF(OR(H845="Severe",H845="Life-Threatening"),"Yes","No")</f>
        <v>No</v>
      </c>
      <c r="M845" s="12" t="str">
        <f aca="false">IF(B845&lt;18,"0-17",IF(B845&lt;40,"18-39",IF(B845&lt;60,"40-59","60+")))</f>
        <v>18-39</v>
      </c>
      <c r="N845" s="12" t="str">
        <f aca="false">IF(I845&lt;=1,"0-1 days",IF(I845&lt;=7,"2-7 days",IF(I845&lt;=30,"8-30 days","&gt;30 days")))</f>
        <v>0-1 days</v>
      </c>
    </row>
    <row r="846" customFormat="false" ht="15" hidden="false" customHeight="false" outlineLevel="0" collapsed="false">
      <c r="A846" s="12" t="s">
        <v>1087</v>
      </c>
      <c r="B846" s="12" t="n">
        <v>59</v>
      </c>
      <c r="C846" s="12" t="s">
        <v>43</v>
      </c>
      <c r="D846" s="12" t="s">
        <v>155</v>
      </c>
      <c r="E846" s="12" t="s">
        <v>407</v>
      </c>
      <c r="F846" s="12" t="s">
        <v>176</v>
      </c>
      <c r="G846" s="12" t="s">
        <v>177</v>
      </c>
      <c r="H846" s="12" t="s">
        <v>39</v>
      </c>
      <c r="I846" s="12" t="n">
        <v>5</v>
      </c>
      <c r="J846" s="12" t="s">
        <v>67</v>
      </c>
      <c r="K846" s="12" t="s">
        <v>48</v>
      </c>
      <c r="L846" s="12" t="str">
        <f aca="false">IF(OR(H846="Severe",H846="Life-Threatening"),"Yes","No")</f>
        <v>No</v>
      </c>
      <c r="M846" s="12" t="str">
        <f aca="false">IF(B846&lt;18,"0-17",IF(B846&lt;40,"18-39",IF(B846&lt;60,"40-59","60+")))</f>
        <v>40-59</v>
      </c>
      <c r="N846" s="12" t="str">
        <f aca="false">IF(I846&lt;=1,"0-1 days",IF(I846&lt;=7,"2-7 days",IF(I846&lt;=30,"8-30 days","&gt;30 days")))</f>
        <v>2-7 days</v>
      </c>
    </row>
    <row r="847" customFormat="false" ht="15" hidden="false" customHeight="false" outlineLevel="0" collapsed="false">
      <c r="A847" s="12" t="s">
        <v>1088</v>
      </c>
      <c r="B847" s="12" t="n">
        <v>41</v>
      </c>
      <c r="C847" s="12" t="s">
        <v>34</v>
      </c>
      <c r="D847" s="12" t="s">
        <v>35</v>
      </c>
      <c r="E847" s="12" t="s">
        <v>86</v>
      </c>
      <c r="F847" s="12" t="s">
        <v>45</v>
      </c>
      <c r="G847" s="12" t="s">
        <v>38</v>
      </c>
      <c r="H847" s="12" t="s">
        <v>46</v>
      </c>
      <c r="I847" s="12" t="n">
        <v>10</v>
      </c>
      <c r="J847" s="12" t="s">
        <v>40</v>
      </c>
      <c r="K847" s="12" t="s">
        <v>63</v>
      </c>
      <c r="L847" s="12" t="str">
        <f aca="false">IF(OR(H847="Severe",H847="Life-Threatening"),"Yes","No")</f>
        <v>No</v>
      </c>
      <c r="M847" s="12" t="str">
        <f aca="false">IF(B847&lt;18,"0-17",IF(B847&lt;40,"18-39",IF(B847&lt;60,"40-59","60+")))</f>
        <v>40-59</v>
      </c>
      <c r="N847" s="12" t="str">
        <f aca="false">IF(I847&lt;=1,"0-1 days",IF(I847&lt;=7,"2-7 days",IF(I847&lt;=30,"8-30 days","&gt;30 days")))</f>
        <v>8-30 days</v>
      </c>
    </row>
    <row r="848" customFormat="false" ht="15" hidden="false" customHeight="false" outlineLevel="0" collapsed="false">
      <c r="A848" s="12" t="s">
        <v>1089</v>
      </c>
      <c r="B848" s="12" t="n">
        <v>50</v>
      </c>
      <c r="C848" s="12" t="s">
        <v>43</v>
      </c>
      <c r="D848" s="12" t="s">
        <v>155</v>
      </c>
      <c r="E848" s="12" t="s">
        <v>225</v>
      </c>
      <c r="F848" s="12" t="s">
        <v>235</v>
      </c>
      <c r="G848" s="12" t="s">
        <v>53</v>
      </c>
      <c r="H848" s="12" t="s">
        <v>39</v>
      </c>
      <c r="I848" s="12" t="n">
        <v>15</v>
      </c>
      <c r="J848" s="12" t="s">
        <v>47</v>
      </c>
      <c r="K848" s="12" t="s">
        <v>48</v>
      </c>
      <c r="L848" s="12" t="str">
        <f aca="false">IF(OR(H848="Severe",H848="Life-Threatening"),"Yes","No")</f>
        <v>No</v>
      </c>
      <c r="M848" s="12" t="str">
        <f aca="false">IF(B848&lt;18,"0-17",IF(B848&lt;40,"18-39",IF(B848&lt;60,"40-59","60+")))</f>
        <v>40-59</v>
      </c>
      <c r="N848" s="12" t="str">
        <f aca="false">IF(I848&lt;=1,"0-1 days",IF(I848&lt;=7,"2-7 days",IF(I848&lt;=30,"8-30 days","&gt;30 days")))</f>
        <v>8-30 days</v>
      </c>
    </row>
    <row r="849" customFormat="false" ht="15" hidden="false" customHeight="false" outlineLevel="0" collapsed="false">
      <c r="A849" s="12" t="s">
        <v>1090</v>
      </c>
      <c r="B849" s="12" t="n">
        <v>51</v>
      </c>
      <c r="C849" s="12" t="s">
        <v>43</v>
      </c>
      <c r="D849" s="12" t="s">
        <v>35</v>
      </c>
      <c r="E849" s="12" t="s">
        <v>694</v>
      </c>
      <c r="F849" s="12" t="s">
        <v>695</v>
      </c>
      <c r="G849" s="12" t="s">
        <v>38</v>
      </c>
      <c r="H849" s="12" t="s">
        <v>76</v>
      </c>
      <c r="I849" s="12" t="n">
        <v>19</v>
      </c>
      <c r="J849" s="12" t="s">
        <v>47</v>
      </c>
      <c r="K849" s="12" t="s">
        <v>48</v>
      </c>
      <c r="L849" s="12" t="str">
        <f aca="false">IF(OR(H849="Severe",H849="Life-Threatening"),"Yes","No")</f>
        <v>Yes</v>
      </c>
      <c r="M849" s="12" t="str">
        <f aca="false">IF(B849&lt;18,"0-17",IF(B849&lt;40,"18-39",IF(B849&lt;60,"40-59","60+")))</f>
        <v>40-59</v>
      </c>
      <c r="N849" s="12" t="str">
        <f aca="false">IF(I849&lt;=1,"0-1 days",IF(I849&lt;=7,"2-7 days",IF(I849&lt;=30,"8-30 days","&gt;30 days")))</f>
        <v>8-30 days</v>
      </c>
    </row>
    <row r="850" customFormat="false" ht="15" hidden="false" customHeight="false" outlineLevel="0" collapsed="false">
      <c r="A850" s="12" t="s">
        <v>1091</v>
      </c>
      <c r="B850" s="12" t="n">
        <v>19</v>
      </c>
      <c r="C850" s="12" t="s">
        <v>43</v>
      </c>
      <c r="D850" s="12" t="s">
        <v>99</v>
      </c>
      <c r="E850" s="12" t="s">
        <v>253</v>
      </c>
      <c r="F850" s="12" t="s">
        <v>135</v>
      </c>
      <c r="G850" s="12" t="s">
        <v>136</v>
      </c>
      <c r="H850" s="12" t="s">
        <v>46</v>
      </c>
      <c r="I850" s="12" t="n">
        <v>21</v>
      </c>
      <c r="J850" s="12" t="s">
        <v>40</v>
      </c>
      <c r="K850" s="12" t="s">
        <v>63</v>
      </c>
      <c r="L850" s="12" t="str">
        <f aca="false">IF(OR(H850="Severe",H850="Life-Threatening"),"Yes","No")</f>
        <v>No</v>
      </c>
      <c r="M850" s="12" t="str">
        <f aca="false">IF(B850&lt;18,"0-17",IF(B850&lt;40,"18-39",IF(B850&lt;60,"40-59","60+")))</f>
        <v>18-39</v>
      </c>
      <c r="N850" s="12" t="str">
        <f aca="false">IF(I850&lt;=1,"0-1 days",IF(I850&lt;=7,"2-7 days",IF(I850&lt;=30,"8-30 days","&gt;30 days")))</f>
        <v>8-30 days</v>
      </c>
    </row>
    <row r="851" customFormat="false" ht="15" hidden="false" customHeight="false" outlineLevel="0" collapsed="false">
      <c r="A851" s="12" t="s">
        <v>1092</v>
      </c>
      <c r="B851" s="12" t="n">
        <v>56</v>
      </c>
      <c r="C851" s="12" t="s">
        <v>43</v>
      </c>
      <c r="D851" s="12" t="s">
        <v>168</v>
      </c>
      <c r="E851" s="12" t="s">
        <v>261</v>
      </c>
      <c r="F851" s="12" t="s">
        <v>221</v>
      </c>
      <c r="G851" s="12" t="s">
        <v>94</v>
      </c>
      <c r="H851" s="12" t="s">
        <v>59</v>
      </c>
      <c r="I851" s="12" t="n">
        <v>1</v>
      </c>
      <c r="J851" s="12" t="s">
        <v>47</v>
      </c>
      <c r="K851" s="12" t="s">
        <v>48</v>
      </c>
      <c r="L851" s="12" t="str">
        <f aca="false">IF(OR(H851="Severe",H851="Life-Threatening"),"Yes","No")</f>
        <v>Yes</v>
      </c>
      <c r="M851" s="12" t="str">
        <f aca="false">IF(B851&lt;18,"0-17",IF(B851&lt;40,"18-39",IF(B851&lt;60,"40-59","60+")))</f>
        <v>40-59</v>
      </c>
      <c r="N851" s="12" t="str">
        <f aca="false">IF(I851&lt;=1,"0-1 days",IF(I851&lt;=7,"2-7 days",IF(I851&lt;=30,"8-30 days","&gt;30 days")))</f>
        <v>0-1 days</v>
      </c>
    </row>
    <row r="852" customFormat="false" ht="15" hidden="false" customHeight="false" outlineLevel="0" collapsed="false">
      <c r="A852" s="12" t="s">
        <v>1093</v>
      </c>
      <c r="B852" s="12" t="n">
        <v>52</v>
      </c>
      <c r="C852" s="12" t="s">
        <v>43</v>
      </c>
      <c r="D852" s="12" t="s">
        <v>231</v>
      </c>
      <c r="E852" s="12" t="s">
        <v>304</v>
      </c>
      <c r="F852" s="12" t="s">
        <v>305</v>
      </c>
      <c r="G852" s="12" t="s">
        <v>177</v>
      </c>
      <c r="H852" s="12" t="s">
        <v>46</v>
      </c>
      <c r="I852" s="12" t="n">
        <v>28</v>
      </c>
      <c r="J852" s="12" t="s">
        <v>40</v>
      </c>
      <c r="K852" s="12" t="s">
        <v>63</v>
      </c>
      <c r="L852" s="12" t="str">
        <f aca="false">IF(OR(H852="Severe",H852="Life-Threatening"),"Yes","No")</f>
        <v>No</v>
      </c>
      <c r="M852" s="12" t="str">
        <f aca="false">IF(B852&lt;18,"0-17",IF(B852&lt;40,"18-39",IF(B852&lt;60,"40-59","60+")))</f>
        <v>40-59</v>
      </c>
      <c r="N852" s="12" t="str">
        <f aca="false">IF(I852&lt;=1,"0-1 days",IF(I852&lt;=7,"2-7 days",IF(I852&lt;=30,"8-30 days","&gt;30 days")))</f>
        <v>8-30 days</v>
      </c>
    </row>
    <row r="853" customFormat="false" ht="15" hidden="false" customHeight="false" outlineLevel="0" collapsed="false">
      <c r="A853" s="12" t="s">
        <v>1094</v>
      </c>
      <c r="B853" s="12" t="n">
        <v>43</v>
      </c>
      <c r="C853" s="12" t="s">
        <v>43</v>
      </c>
      <c r="D853" s="12" t="s">
        <v>327</v>
      </c>
      <c r="E853" s="12" t="s">
        <v>186</v>
      </c>
      <c r="F853" s="12" t="s">
        <v>62</v>
      </c>
      <c r="G853" s="12" t="s">
        <v>53</v>
      </c>
      <c r="H853" s="12" t="s">
        <v>46</v>
      </c>
      <c r="I853" s="12" t="n">
        <v>29</v>
      </c>
      <c r="J853" s="12" t="s">
        <v>40</v>
      </c>
      <c r="K853" s="12" t="s">
        <v>63</v>
      </c>
      <c r="L853" s="12" t="str">
        <f aca="false">IF(OR(H853="Severe",H853="Life-Threatening"),"Yes","No")</f>
        <v>No</v>
      </c>
      <c r="M853" s="12" t="str">
        <f aca="false">IF(B853&lt;18,"0-17",IF(B853&lt;40,"18-39",IF(B853&lt;60,"40-59","60+")))</f>
        <v>40-59</v>
      </c>
      <c r="N853" s="12" t="str">
        <f aca="false">IF(I853&lt;=1,"0-1 days",IF(I853&lt;=7,"2-7 days",IF(I853&lt;=30,"8-30 days","&gt;30 days")))</f>
        <v>8-30 days</v>
      </c>
    </row>
    <row r="854" customFormat="false" ht="15" hidden="false" customHeight="false" outlineLevel="0" collapsed="false">
      <c r="A854" s="12" t="s">
        <v>1095</v>
      </c>
      <c r="B854" s="12" t="n">
        <v>45</v>
      </c>
      <c r="C854" s="12" t="s">
        <v>43</v>
      </c>
      <c r="D854" s="12" t="s">
        <v>35</v>
      </c>
      <c r="E854" s="12" t="s">
        <v>352</v>
      </c>
      <c r="F854" s="12" t="s">
        <v>171</v>
      </c>
      <c r="G854" s="12" t="s">
        <v>53</v>
      </c>
      <c r="H854" s="12" t="s">
        <v>39</v>
      </c>
      <c r="I854" s="12" t="n">
        <v>6</v>
      </c>
      <c r="J854" s="12" t="s">
        <v>47</v>
      </c>
      <c r="K854" s="12" t="s">
        <v>147</v>
      </c>
      <c r="L854" s="12" t="str">
        <f aca="false">IF(OR(H854="Severe",H854="Life-Threatening"),"Yes","No")</f>
        <v>No</v>
      </c>
      <c r="M854" s="12" t="str">
        <f aca="false">IF(B854&lt;18,"0-17",IF(B854&lt;40,"18-39",IF(B854&lt;60,"40-59","60+")))</f>
        <v>40-59</v>
      </c>
      <c r="N854" s="12" t="str">
        <f aca="false">IF(I854&lt;=1,"0-1 days",IF(I854&lt;=7,"2-7 days",IF(I854&lt;=30,"8-30 days","&gt;30 days")))</f>
        <v>2-7 days</v>
      </c>
    </row>
    <row r="855" customFormat="false" ht="15" hidden="false" customHeight="false" outlineLevel="0" collapsed="false">
      <c r="A855" s="12" t="s">
        <v>1096</v>
      </c>
      <c r="B855" s="12" t="n">
        <v>63</v>
      </c>
      <c r="C855" s="12" t="s">
        <v>43</v>
      </c>
      <c r="D855" s="12" t="s">
        <v>35</v>
      </c>
      <c r="E855" s="12" t="s">
        <v>241</v>
      </c>
      <c r="F855" s="12" t="s">
        <v>135</v>
      </c>
      <c r="G855" s="12" t="s">
        <v>136</v>
      </c>
      <c r="H855" s="12" t="s">
        <v>46</v>
      </c>
      <c r="I855" s="12" t="n">
        <v>25</v>
      </c>
      <c r="J855" s="12" t="s">
        <v>40</v>
      </c>
      <c r="K855" s="12" t="s">
        <v>48</v>
      </c>
      <c r="L855" s="12" t="str">
        <f aca="false">IF(OR(H855="Severe",H855="Life-Threatening"),"Yes","No")</f>
        <v>No</v>
      </c>
      <c r="M855" s="12" t="str">
        <f aca="false">IF(B855&lt;18,"0-17",IF(B855&lt;40,"18-39",IF(B855&lt;60,"40-59","60+")))</f>
        <v>60+</v>
      </c>
      <c r="N855" s="12" t="str">
        <f aca="false">IF(I855&lt;=1,"0-1 days",IF(I855&lt;=7,"2-7 days",IF(I855&lt;=30,"8-30 days","&gt;30 days")))</f>
        <v>8-30 days</v>
      </c>
    </row>
    <row r="856" customFormat="false" ht="15" hidden="false" customHeight="false" outlineLevel="0" collapsed="false">
      <c r="A856" s="12" t="s">
        <v>1097</v>
      </c>
      <c r="B856" s="12" t="n">
        <v>52</v>
      </c>
      <c r="C856" s="12" t="s">
        <v>43</v>
      </c>
      <c r="D856" s="12" t="s">
        <v>35</v>
      </c>
      <c r="E856" s="12" t="s">
        <v>138</v>
      </c>
      <c r="F856" s="12" t="s">
        <v>214</v>
      </c>
      <c r="G856" s="12" t="s">
        <v>115</v>
      </c>
      <c r="H856" s="12" t="s">
        <v>39</v>
      </c>
      <c r="I856" s="12" t="n">
        <v>27</v>
      </c>
      <c r="J856" s="12" t="s">
        <v>40</v>
      </c>
      <c r="K856" s="12" t="s">
        <v>48</v>
      </c>
      <c r="L856" s="12" t="str">
        <f aca="false">IF(OR(H856="Severe",H856="Life-Threatening"),"Yes","No")</f>
        <v>No</v>
      </c>
      <c r="M856" s="12" t="str">
        <f aca="false">IF(B856&lt;18,"0-17",IF(B856&lt;40,"18-39",IF(B856&lt;60,"40-59","60+")))</f>
        <v>40-59</v>
      </c>
      <c r="N856" s="12" t="str">
        <f aca="false">IF(I856&lt;=1,"0-1 days",IF(I856&lt;=7,"2-7 days",IF(I856&lt;=30,"8-30 days","&gt;30 days")))</f>
        <v>8-30 days</v>
      </c>
    </row>
    <row r="857" customFormat="false" ht="15" hidden="false" customHeight="false" outlineLevel="0" collapsed="false">
      <c r="A857" s="12" t="s">
        <v>1098</v>
      </c>
      <c r="B857" s="12" t="n">
        <v>27</v>
      </c>
      <c r="C857" s="12" t="s">
        <v>43</v>
      </c>
      <c r="D857" s="12" t="s">
        <v>245</v>
      </c>
      <c r="E857" s="12" t="s">
        <v>266</v>
      </c>
      <c r="F857" s="12" t="s">
        <v>114</v>
      </c>
      <c r="G857" s="12" t="s">
        <v>115</v>
      </c>
      <c r="H857" s="12" t="s">
        <v>76</v>
      </c>
      <c r="I857" s="12" t="n">
        <v>14</v>
      </c>
      <c r="J857" s="12" t="s">
        <v>169</v>
      </c>
      <c r="K857" s="12" t="s">
        <v>48</v>
      </c>
      <c r="L857" s="12" t="str">
        <f aca="false">IF(OR(H857="Severe",H857="Life-Threatening"),"Yes","No")</f>
        <v>Yes</v>
      </c>
      <c r="M857" s="12" t="str">
        <f aca="false">IF(B857&lt;18,"0-17",IF(B857&lt;40,"18-39",IF(B857&lt;60,"40-59","60+")))</f>
        <v>18-39</v>
      </c>
      <c r="N857" s="12" t="str">
        <f aca="false">IF(I857&lt;=1,"0-1 days",IF(I857&lt;=7,"2-7 days",IF(I857&lt;=30,"8-30 days","&gt;30 days")))</f>
        <v>8-30 days</v>
      </c>
    </row>
    <row r="858" customFormat="false" ht="15" hidden="false" customHeight="false" outlineLevel="0" collapsed="false">
      <c r="A858" s="12" t="s">
        <v>1099</v>
      </c>
      <c r="B858" s="12" t="n">
        <v>34</v>
      </c>
      <c r="C858" s="12" t="s">
        <v>34</v>
      </c>
      <c r="D858" s="12" t="s">
        <v>155</v>
      </c>
      <c r="E858" s="12" t="s">
        <v>307</v>
      </c>
      <c r="F858" s="12" t="s">
        <v>62</v>
      </c>
      <c r="G858" s="12" t="s">
        <v>53</v>
      </c>
      <c r="H858" s="12" t="s">
        <v>46</v>
      </c>
      <c r="I858" s="12" t="n">
        <v>24</v>
      </c>
      <c r="J858" s="12" t="s">
        <v>47</v>
      </c>
      <c r="K858" s="12" t="s">
        <v>48</v>
      </c>
      <c r="L858" s="12" t="str">
        <f aca="false">IF(OR(H858="Severe",H858="Life-Threatening"),"Yes","No")</f>
        <v>No</v>
      </c>
      <c r="M858" s="12" t="str">
        <f aca="false">IF(B858&lt;18,"0-17",IF(B858&lt;40,"18-39",IF(B858&lt;60,"40-59","60+")))</f>
        <v>18-39</v>
      </c>
      <c r="N858" s="12" t="str">
        <f aca="false">IF(I858&lt;=1,"0-1 days",IF(I858&lt;=7,"2-7 days",IF(I858&lt;=30,"8-30 days","&gt;30 days")))</f>
        <v>8-30 days</v>
      </c>
    </row>
    <row r="859" customFormat="false" ht="15" hidden="false" customHeight="false" outlineLevel="0" collapsed="false">
      <c r="A859" s="12" t="s">
        <v>1100</v>
      </c>
      <c r="B859" s="12" t="n">
        <v>48</v>
      </c>
      <c r="C859" s="12" t="s">
        <v>34</v>
      </c>
      <c r="D859" s="12" t="s">
        <v>91</v>
      </c>
      <c r="E859" s="12" t="s">
        <v>398</v>
      </c>
      <c r="F859" s="12" t="s">
        <v>364</v>
      </c>
      <c r="G859" s="12" t="s">
        <v>38</v>
      </c>
      <c r="H859" s="12" t="s">
        <v>46</v>
      </c>
      <c r="I859" s="12" t="n">
        <v>7</v>
      </c>
      <c r="J859" s="12" t="s">
        <v>40</v>
      </c>
      <c r="K859" s="12" t="s">
        <v>63</v>
      </c>
      <c r="L859" s="12" t="str">
        <f aca="false">IF(OR(H859="Severe",H859="Life-Threatening"),"Yes","No")</f>
        <v>No</v>
      </c>
      <c r="M859" s="12" t="str">
        <f aca="false">IF(B859&lt;18,"0-17",IF(B859&lt;40,"18-39",IF(B859&lt;60,"40-59","60+")))</f>
        <v>40-59</v>
      </c>
      <c r="N859" s="12" t="str">
        <f aca="false">IF(I859&lt;=1,"0-1 days",IF(I859&lt;=7,"2-7 days",IF(I859&lt;=30,"8-30 days","&gt;30 days")))</f>
        <v>2-7 days</v>
      </c>
    </row>
    <row r="860" customFormat="false" ht="15" hidden="false" customHeight="false" outlineLevel="0" collapsed="false">
      <c r="A860" s="12" t="s">
        <v>1101</v>
      </c>
      <c r="B860" s="12" t="n">
        <v>12</v>
      </c>
      <c r="C860" s="12" t="s">
        <v>34</v>
      </c>
      <c r="D860" s="12" t="s">
        <v>196</v>
      </c>
      <c r="E860" s="12" t="s">
        <v>96</v>
      </c>
      <c r="F860" s="12" t="s">
        <v>97</v>
      </c>
      <c r="G860" s="12" t="s">
        <v>94</v>
      </c>
      <c r="H860" s="12" t="s">
        <v>39</v>
      </c>
      <c r="I860" s="12" t="n">
        <v>19</v>
      </c>
      <c r="J860" s="12" t="s">
        <v>47</v>
      </c>
      <c r="K860" s="12" t="s">
        <v>63</v>
      </c>
      <c r="L860" s="12" t="str">
        <f aca="false">IF(OR(H860="Severe",H860="Life-Threatening"),"Yes","No")</f>
        <v>No</v>
      </c>
      <c r="M860" s="12" t="str">
        <f aca="false">IF(B860&lt;18,"0-17",IF(B860&lt;40,"18-39",IF(B860&lt;60,"40-59","60+")))</f>
        <v>0-17</v>
      </c>
      <c r="N860" s="12" t="str">
        <f aca="false">IF(I860&lt;=1,"0-1 days",IF(I860&lt;=7,"2-7 days",IF(I860&lt;=30,"8-30 days","&gt;30 days")))</f>
        <v>8-30 days</v>
      </c>
    </row>
    <row r="861" customFormat="false" ht="15" hidden="false" customHeight="false" outlineLevel="0" collapsed="false">
      <c r="A861" s="12" t="s">
        <v>1102</v>
      </c>
      <c r="B861" s="12" t="n">
        <v>34</v>
      </c>
      <c r="C861" s="12" t="s">
        <v>43</v>
      </c>
      <c r="D861" s="12" t="s">
        <v>117</v>
      </c>
      <c r="E861" s="12" t="s">
        <v>454</v>
      </c>
      <c r="F861" s="12" t="s">
        <v>45</v>
      </c>
      <c r="G861" s="12" t="s">
        <v>38</v>
      </c>
      <c r="H861" s="12" t="s">
        <v>39</v>
      </c>
      <c r="I861" s="12" t="n">
        <v>4</v>
      </c>
      <c r="J861" s="12" t="s">
        <v>40</v>
      </c>
      <c r="K861" s="12" t="s">
        <v>41</v>
      </c>
      <c r="L861" s="12" t="str">
        <f aca="false">IF(OR(H861="Severe",H861="Life-Threatening"),"Yes","No")</f>
        <v>No</v>
      </c>
      <c r="M861" s="12" t="str">
        <f aca="false">IF(B861&lt;18,"0-17",IF(B861&lt;40,"18-39",IF(B861&lt;60,"40-59","60+")))</f>
        <v>18-39</v>
      </c>
      <c r="N861" s="12" t="str">
        <f aca="false">IF(I861&lt;=1,"0-1 days",IF(I861&lt;=7,"2-7 days",IF(I861&lt;=30,"8-30 days","&gt;30 days")))</f>
        <v>2-7 days</v>
      </c>
    </row>
    <row r="862" customFormat="false" ht="15" hidden="false" customHeight="false" outlineLevel="0" collapsed="false">
      <c r="A862" s="12" t="s">
        <v>1103</v>
      </c>
      <c r="B862" s="12" t="n">
        <v>52</v>
      </c>
      <c r="C862" s="12" t="s">
        <v>34</v>
      </c>
      <c r="D862" s="12" t="s">
        <v>102</v>
      </c>
      <c r="E862" s="12" t="s">
        <v>656</v>
      </c>
      <c r="F862" s="12" t="s">
        <v>751</v>
      </c>
      <c r="G862" s="12" t="s">
        <v>58</v>
      </c>
      <c r="H862" s="12" t="s">
        <v>39</v>
      </c>
      <c r="I862" s="12" t="n">
        <v>0</v>
      </c>
      <c r="J862" s="12" t="s">
        <v>40</v>
      </c>
      <c r="K862" s="12" t="s">
        <v>63</v>
      </c>
      <c r="L862" s="12" t="str">
        <f aca="false">IF(OR(H862="Severe",H862="Life-Threatening"),"Yes","No")</f>
        <v>No</v>
      </c>
      <c r="M862" s="12" t="str">
        <f aca="false">IF(B862&lt;18,"0-17",IF(B862&lt;40,"18-39",IF(B862&lt;60,"40-59","60+")))</f>
        <v>40-59</v>
      </c>
      <c r="N862" s="12" t="str">
        <f aca="false">IF(I862&lt;=1,"0-1 days",IF(I862&lt;=7,"2-7 days",IF(I862&lt;=30,"8-30 days","&gt;30 days")))</f>
        <v>0-1 days</v>
      </c>
    </row>
    <row r="863" customFormat="false" ht="15" hidden="false" customHeight="false" outlineLevel="0" collapsed="false">
      <c r="A863" s="12" t="s">
        <v>1104</v>
      </c>
      <c r="B863" s="12" t="n">
        <v>76</v>
      </c>
      <c r="C863" s="12" t="s">
        <v>34</v>
      </c>
      <c r="D863" s="12" t="s">
        <v>102</v>
      </c>
      <c r="E863" s="12" t="s">
        <v>181</v>
      </c>
      <c r="F863" s="12" t="s">
        <v>506</v>
      </c>
      <c r="G863" s="12" t="s">
        <v>94</v>
      </c>
      <c r="H863" s="12" t="s">
        <v>39</v>
      </c>
      <c r="I863" s="12" t="n">
        <v>11</v>
      </c>
      <c r="J863" s="12" t="s">
        <v>40</v>
      </c>
      <c r="K863" s="12" t="s">
        <v>63</v>
      </c>
      <c r="L863" s="12" t="str">
        <f aca="false">IF(OR(H863="Severe",H863="Life-Threatening"),"Yes","No")</f>
        <v>No</v>
      </c>
      <c r="M863" s="12" t="str">
        <f aca="false">IF(B863&lt;18,"0-17",IF(B863&lt;40,"18-39",IF(B863&lt;60,"40-59","60+")))</f>
        <v>60+</v>
      </c>
      <c r="N863" s="12" t="str">
        <f aca="false">IF(I863&lt;=1,"0-1 days",IF(I863&lt;=7,"2-7 days",IF(I863&lt;=30,"8-30 days","&gt;30 days")))</f>
        <v>8-30 days</v>
      </c>
    </row>
    <row r="864" customFormat="false" ht="15" hidden="false" customHeight="false" outlineLevel="0" collapsed="false">
      <c r="A864" s="12" t="s">
        <v>1105</v>
      </c>
      <c r="B864" s="12" t="n">
        <v>72</v>
      </c>
      <c r="C864" s="12" t="s">
        <v>34</v>
      </c>
      <c r="D864" s="12" t="s">
        <v>196</v>
      </c>
      <c r="E864" s="12" t="s">
        <v>376</v>
      </c>
      <c r="F864" s="12" t="s">
        <v>377</v>
      </c>
      <c r="G864" s="12" t="s">
        <v>53</v>
      </c>
      <c r="H864" s="12" t="s">
        <v>39</v>
      </c>
      <c r="I864" s="12" t="n">
        <v>19</v>
      </c>
      <c r="J864" s="12" t="s">
        <v>40</v>
      </c>
      <c r="K864" s="12" t="s">
        <v>147</v>
      </c>
      <c r="L864" s="12" t="str">
        <f aca="false">IF(OR(H864="Severe",H864="Life-Threatening"),"Yes","No")</f>
        <v>No</v>
      </c>
      <c r="M864" s="12" t="str">
        <f aca="false">IF(B864&lt;18,"0-17",IF(B864&lt;40,"18-39",IF(B864&lt;60,"40-59","60+")))</f>
        <v>60+</v>
      </c>
      <c r="N864" s="12" t="str">
        <f aca="false">IF(I864&lt;=1,"0-1 days",IF(I864&lt;=7,"2-7 days",IF(I864&lt;=30,"8-30 days","&gt;30 days")))</f>
        <v>8-30 days</v>
      </c>
    </row>
    <row r="865" customFormat="false" ht="15" hidden="false" customHeight="false" outlineLevel="0" collapsed="false">
      <c r="A865" s="12" t="s">
        <v>1106</v>
      </c>
      <c r="B865" s="12" t="n">
        <v>58</v>
      </c>
      <c r="C865" s="12" t="s">
        <v>34</v>
      </c>
      <c r="D865" s="12" t="s">
        <v>35</v>
      </c>
      <c r="E865" s="12" t="s">
        <v>113</v>
      </c>
      <c r="F865" s="12" t="s">
        <v>62</v>
      </c>
      <c r="G865" s="12" t="s">
        <v>53</v>
      </c>
      <c r="H865" s="12" t="s">
        <v>39</v>
      </c>
      <c r="I865" s="12" t="n">
        <v>21</v>
      </c>
      <c r="J865" s="12" t="s">
        <v>40</v>
      </c>
      <c r="K865" s="12" t="s">
        <v>41</v>
      </c>
      <c r="L865" s="12" t="str">
        <f aca="false">IF(OR(H865="Severe",H865="Life-Threatening"),"Yes","No")</f>
        <v>No</v>
      </c>
      <c r="M865" s="12" t="str">
        <f aca="false">IF(B865&lt;18,"0-17",IF(B865&lt;40,"18-39",IF(B865&lt;60,"40-59","60+")))</f>
        <v>40-59</v>
      </c>
      <c r="N865" s="12" t="str">
        <f aca="false">IF(I865&lt;=1,"0-1 days",IF(I865&lt;=7,"2-7 days",IF(I865&lt;=30,"8-30 days","&gt;30 days")))</f>
        <v>8-30 days</v>
      </c>
    </row>
    <row r="866" customFormat="false" ht="15" hidden="false" customHeight="false" outlineLevel="0" collapsed="false">
      <c r="A866" s="12" t="s">
        <v>1107</v>
      </c>
      <c r="B866" s="12" t="n">
        <v>68</v>
      </c>
      <c r="C866" s="12" t="s">
        <v>43</v>
      </c>
      <c r="D866" s="12" t="s">
        <v>196</v>
      </c>
      <c r="E866" s="12" t="s">
        <v>332</v>
      </c>
      <c r="F866" s="12" t="s">
        <v>45</v>
      </c>
      <c r="G866" s="12" t="s">
        <v>38</v>
      </c>
      <c r="H866" s="12" t="s">
        <v>39</v>
      </c>
      <c r="I866" s="12" t="n">
        <v>5</v>
      </c>
      <c r="J866" s="12" t="s">
        <v>40</v>
      </c>
      <c r="K866" s="12" t="s">
        <v>48</v>
      </c>
      <c r="L866" s="12" t="str">
        <f aca="false">IF(OR(H866="Severe",H866="Life-Threatening"),"Yes","No")</f>
        <v>No</v>
      </c>
      <c r="M866" s="12" t="str">
        <f aca="false">IF(B866&lt;18,"0-17",IF(B866&lt;40,"18-39",IF(B866&lt;60,"40-59","60+")))</f>
        <v>60+</v>
      </c>
      <c r="N866" s="12" t="str">
        <f aca="false">IF(I866&lt;=1,"0-1 days",IF(I866&lt;=7,"2-7 days",IF(I866&lt;=30,"8-30 days","&gt;30 days")))</f>
        <v>2-7 days</v>
      </c>
    </row>
    <row r="867" customFormat="false" ht="15" hidden="false" customHeight="false" outlineLevel="0" collapsed="false">
      <c r="A867" s="12" t="s">
        <v>1108</v>
      </c>
      <c r="B867" s="12" t="n">
        <v>58</v>
      </c>
      <c r="C867" s="12" t="s">
        <v>43</v>
      </c>
      <c r="D867" s="12" t="s">
        <v>50</v>
      </c>
      <c r="E867" s="12" t="s">
        <v>280</v>
      </c>
      <c r="F867" s="12" t="s">
        <v>45</v>
      </c>
      <c r="G867" s="12" t="s">
        <v>38</v>
      </c>
      <c r="H867" s="12" t="s">
        <v>39</v>
      </c>
      <c r="I867" s="12" t="n">
        <v>2</v>
      </c>
      <c r="J867" s="12" t="s">
        <v>40</v>
      </c>
      <c r="K867" s="12" t="s">
        <v>63</v>
      </c>
      <c r="L867" s="12" t="str">
        <f aca="false">IF(OR(H867="Severe",H867="Life-Threatening"),"Yes","No")</f>
        <v>No</v>
      </c>
      <c r="M867" s="12" t="str">
        <f aca="false">IF(B867&lt;18,"0-17",IF(B867&lt;40,"18-39",IF(B867&lt;60,"40-59","60+")))</f>
        <v>40-59</v>
      </c>
      <c r="N867" s="12" t="str">
        <f aca="false">IF(I867&lt;=1,"0-1 days",IF(I867&lt;=7,"2-7 days",IF(I867&lt;=30,"8-30 days","&gt;30 days")))</f>
        <v>2-7 days</v>
      </c>
    </row>
    <row r="868" customFormat="false" ht="15" hidden="false" customHeight="false" outlineLevel="0" collapsed="false">
      <c r="A868" s="12" t="s">
        <v>1109</v>
      </c>
      <c r="B868" s="12" t="n">
        <v>41</v>
      </c>
      <c r="C868" s="12" t="s">
        <v>34</v>
      </c>
      <c r="D868" s="12" t="s">
        <v>120</v>
      </c>
      <c r="E868" s="12" t="s">
        <v>307</v>
      </c>
      <c r="F868" s="12" t="s">
        <v>62</v>
      </c>
      <c r="G868" s="12" t="s">
        <v>53</v>
      </c>
      <c r="H868" s="12" t="s">
        <v>46</v>
      </c>
      <c r="I868" s="12" t="n">
        <v>30</v>
      </c>
      <c r="J868" s="12" t="s">
        <v>40</v>
      </c>
      <c r="K868" s="12" t="s">
        <v>147</v>
      </c>
      <c r="L868" s="12" t="str">
        <f aca="false">IF(OR(H868="Severe",H868="Life-Threatening"),"Yes","No")</f>
        <v>No</v>
      </c>
      <c r="M868" s="12" t="str">
        <f aca="false">IF(B868&lt;18,"0-17",IF(B868&lt;40,"18-39",IF(B868&lt;60,"40-59","60+")))</f>
        <v>40-59</v>
      </c>
      <c r="N868" s="12" t="str">
        <f aca="false">IF(I868&lt;=1,"0-1 days",IF(I868&lt;=7,"2-7 days",IF(I868&lt;=30,"8-30 days","&gt;30 days")))</f>
        <v>8-30 days</v>
      </c>
    </row>
    <row r="869" customFormat="false" ht="15" hidden="false" customHeight="false" outlineLevel="0" collapsed="false">
      <c r="A869" s="12" t="s">
        <v>1110</v>
      </c>
      <c r="B869" s="12" t="n">
        <v>75</v>
      </c>
      <c r="C869" s="12" t="s">
        <v>34</v>
      </c>
      <c r="D869" s="12" t="s">
        <v>99</v>
      </c>
      <c r="E869" s="12" t="s">
        <v>138</v>
      </c>
      <c r="F869" s="12" t="s">
        <v>214</v>
      </c>
      <c r="G869" s="12" t="s">
        <v>115</v>
      </c>
      <c r="H869" s="12" t="s">
        <v>46</v>
      </c>
      <c r="I869" s="12" t="n">
        <v>4</v>
      </c>
      <c r="J869" s="12" t="s">
        <v>40</v>
      </c>
      <c r="K869" s="12" t="s">
        <v>48</v>
      </c>
      <c r="L869" s="12" t="str">
        <f aca="false">IF(OR(H869="Severe",H869="Life-Threatening"),"Yes","No")</f>
        <v>No</v>
      </c>
      <c r="M869" s="12" t="str">
        <f aca="false">IF(B869&lt;18,"0-17",IF(B869&lt;40,"18-39",IF(B869&lt;60,"40-59","60+")))</f>
        <v>60+</v>
      </c>
      <c r="N869" s="12" t="str">
        <f aca="false">IF(I869&lt;=1,"0-1 days",IF(I869&lt;=7,"2-7 days",IF(I869&lt;=30,"8-30 days","&gt;30 days")))</f>
        <v>2-7 days</v>
      </c>
    </row>
    <row r="870" customFormat="false" ht="15" hidden="false" customHeight="false" outlineLevel="0" collapsed="false">
      <c r="A870" s="12" t="s">
        <v>1111</v>
      </c>
      <c r="B870" s="12" t="n">
        <v>43</v>
      </c>
      <c r="C870" s="12" t="s">
        <v>43</v>
      </c>
      <c r="D870" s="12" t="s">
        <v>211</v>
      </c>
      <c r="E870" s="12" t="s">
        <v>241</v>
      </c>
      <c r="F870" s="12" t="s">
        <v>135</v>
      </c>
      <c r="G870" s="12" t="s">
        <v>136</v>
      </c>
      <c r="H870" s="12" t="s">
        <v>46</v>
      </c>
      <c r="I870" s="12" t="n">
        <v>27</v>
      </c>
      <c r="J870" s="12" t="s">
        <v>40</v>
      </c>
      <c r="K870" s="12" t="s">
        <v>48</v>
      </c>
      <c r="L870" s="12" t="str">
        <f aca="false">IF(OR(H870="Severe",H870="Life-Threatening"),"Yes","No")</f>
        <v>No</v>
      </c>
      <c r="M870" s="12" t="str">
        <f aca="false">IF(B870&lt;18,"0-17",IF(B870&lt;40,"18-39",IF(B870&lt;60,"40-59","60+")))</f>
        <v>40-59</v>
      </c>
      <c r="N870" s="12" t="str">
        <f aca="false">IF(I870&lt;=1,"0-1 days",IF(I870&lt;=7,"2-7 days",IF(I870&lt;=30,"8-30 days","&gt;30 days")))</f>
        <v>8-30 days</v>
      </c>
    </row>
    <row r="871" customFormat="false" ht="15" hidden="false" customHeight="false" outlineLevel="0" collapsed="false">
      <c r="A871" s="12" t="s">
        <v>1112</v>
      </c>
      <c r="B871" s="12" t="n">
        <v>34</v>
      </c>
      <c r="C871" s="12" t="s">
        <v>34</v>
      </c>
      <c r="D871" s="12" t="s">
        <v>120</v>
      </c>
      <c r="E871" s="12" t="s">
        <v>74</v>
      </c>
      <c r="F871" s="12" t="s">
        <v>214</v>
      </c>
      <c r="G871" s="12" t="s">
        <v>115</v>
      </c>
      <c r="H871" s="12" t="s">
        <v>46</v>
      </c>
      <c r="I871" s="12" t="n">
        <v>19</v>
      </c>
      <c r="J871" s="12" t="s">
        <v>40</v>
      </c>
      <c r="K871" s="12" t="s">
        <v>48</v>
      </c>
      <c r="L871" s="12" t="str">
        <f aca="false">IF(OR(H871="Severe",H871="Life-Threatening"),"Yes","No")</f>
        <v>No</v>
      </c>
      <c r="M871" s="12" t="str">
        <f aca="false">IF(B871&lt;18,"0-17",IF(B871&lt;40,"18-39",IF(B871&lt;60,"40-59","60+")))</f>
        <v>18-39</v>
      </c>
      <c r="N871" s="12" t="str">
        <f aca="false">IF(I871&lt;=1,"0-1 days",IF(I871&lt;=7,"2-7 days",IF(I871&lt;=30,"8-30 days","&gt;30 days")))</f>
        <v>8-30 days</v>
      </c>
    </row>
    <row r="872" customFormat="false" ht="15" hidden="false" customHeight="false" outlineLevel="0" collapsed="false">
      <c r="A872" s="12" t="s">
        <v>1113</v>
      </c>
      <c r="B872" s="12" t="n">
        <v>55</v>
      </c>
      <c r="C872" s="12" t="s">
        <v>34</v>
      </c>
      <c r="D872" s="12" t="s">
        <v>149</v>
      </c>
      <c r="E872" s="12" t="s">
        <v>227</v>
      </c>
      <c r="F872" s="12" t="s">
        <v>264</v>
      </c>
      <c r="G872" s="12" t="s">
        <v>104</v>
      </c>
      <c r="H872" s="12" t="s">
        <v>76</v>
      </c>
      <c r="I872" s="12" t="n">
        <v>9</v>
      </c>
      <c r="J872" s="12" t="s">
        <v>67</v>
      </c>
      <c r="K872" s="12" t="s">
        <v>63</v>
      </c>
      <c r="L872" s="12" t="str">
        <f aca="false">IF(OR(H872="Severe",H872="Life-Threatening"),"Yes","No")</f>
        <v>Yes</v>
      </c>
      <c r="M872" s="12" t="str">
        <f aca="false">IF(B872&lt;18,"0-17",IF(B872&lt;40,"18-39",IF(B872&lt;60,"40-59","60+")))</f>
        <v>40-59</v>
      </c>
      <c r="N872" s="12" t="str">
        <f aca="false">IF(I872&lt;=1,"0-1 days",IF(I872&lt;=7,"2-7 days",IF(I872&lt;=30,"8-30 days","&gt;30 days")))</f>
        <v>8-30 days</v>
      </c>
    </row>
    <row r="873" customFormat="false" ht="15" hidden="false" customHeight="false" outlineLevel="0" collapsed="false">
      <c r="A873" s="12" t="s">
        <v>1114</v>
      </c>
      <c r="B873" s="12" t="n">
        <v>82</v>
      </c>
      <c r="C873" s="12" t="s">
        <v>43</v>
      </c>
      <c r="D873" s="12" t="s">
        <v>50</v>
      </c>
      <c r="E873" s="12" t="s">
        <v>74</v>
      </c>
      <c r="F873" s="12" t="s">
        <v>214</v>
      </c>
      <c r="G873" s="12" t="s">
        <v>115</v>
      </c>
      <c r="H873" s="12" t="s">
        <v>46</v>
      </c>
      <c r="I873" s="12" t="n">
        <v>29</v>
      </c>
      <c r="J873" s="12" t="s">
        <v>47</v>
      </c>
      <c r="K873" s="12" t="s">
        <v>48</v>
      </c>
      <c r="L873" s="12" t="str">
        <f aca="false">IF(OR(H873="Severe",H873="Life-Threatening"),"Yes","No")</f>
        <v>No</v>
      </c>
      <c r="M873" s="12" t="str">
        <f aca="false">IF(B873&lt;18,"0-17",IF(B873&lt;40,"18-39",IF(B873&lt;60,"40-59","60+")))</f>
        <v>60+</v>
      </c>
      <c r="N873" s="12" t="str">
        <f aca="false">IF(I873&lt;=1,"0-1 days",IF(I873&lt;=7,"2-7 days",IF(I873&lt;=30,"8-30 days","&gt;30 days")))</f>
        <v>8-30 days</v>
      </c>
    </row>
    <row r="874" customFormat="false" ht="15" hidden="false" customHeight="false" outlineLevel="0" collapsed="false">
      <c r="A874" s="12" t="s">
        <v>1115</v>
      </c>
      <c r="B874" s="12" t="n">
        <v>15</v>
      </c>
      <c r="C874" s="12" t="s">
        <v>43</v>
      </c>
      <c r="D874" s="12" t="s">
        <v>69</v>
      </c>
      <c r="E874" s="12" t="s">
        <v>70</v>
      </c>
      <c r="F874" s="12" t="s">
        <v>108</v>
      </c>
      <c r="G874" s="12" t="s">
        <v>38</v>
      </c>
      <c r="H874" s="12" t="s">
        <v>39</v>
      </c>
      <c r="I874" s="12" t="n">
        <v>4</v>
      </c>
      <c r="J874" s="12" t="s">
        <v>47</v>
      </c>
      <c r="K874" s="12" t="s">
        <v>63</v>
      </c>
      <c r="L874" s="12" t="str">
        <f aca="false">IF(OR(H874="Severe",H874="Life-Threatening"),"Yes","No")</f>
        <v>No</v>
      </c>
      <c r="M874" s="12" t="str">
        <f aca="false">IF(B874&lt;18,"0-17",IF(B874&lt;40,"18-39",IF(B874&lt;60,"40-59","60+")))</f>
        <v>0-17</v>
      </c>
      <c r="N874" s="12" t="str">
        <f aca="false">IF(I874&lt;=1,"0-1 days",IF(I874&lt;=7,"2-7 days",IF(I874&lt;=30,"8-30 days","&gt;30 days")))</f>
        <v>2-7 days</v>
      </c>
    </row>
    <row r="875" customFormat="false" ht="15" hidden="false" customHeight="false" outlineLevel="0" collapsed="false">
      <c r="A875" s="12" t="s">
        <v>1116</v>
      </c>
      <c r="B875" s="12" t="n">
        <v>17</v>
      </c>
      <c r="C875" s="12" t="s">
        <v>34</v>
      </c>
      <c r="D875" s="12" t="s">
        <v>55</v>
      </c>
      <c r="E875" s="12" t="s">
        <v>175</v>
      </c>
      <c r="F875" s="12" t="s">
        <v>176</v>
      </c>
      <c r="G875" s="12" t="s">
        <v>177</v>
      </c>
      <c r="H875" s="12" t="s">
        <v>76</v>
      </c>
      <c r="I875" s="12" t="n">
        <v>21</v>
      </c>
      <c r="J875" s="12" t="s">
        <v>47</v>
      </c>
      <c r="K875" s="12" t="s">
        <v>48</v>
      </c>
      <c r="L875" s="12" t="str">
        <f aca="false">IF(OR(H875="Severe",H875="Life-Threatening"),"Yes","No")</f>
        <v>Yes</v>
      </c>
      <c r="M875" s="12" t="str">
        <f aca="false">IF(B875&lt;18,"0-17",IF(B875&lt;40,"18-39",IF(B875&lt;60,"40-59","60+")))</f>
        <v>0-17</v>
      </c>
      <c r="N875" s="12" t="str">
        <f aca="false">IF(I875&lt;=1,"0-1 days",IF(I875&lt;=7,"2-7 days",IF(I875&lt;=30,"8-30 days","&gt;30 days")))</f>
        <v>8-30 days</v>
      </c>
    </row>
    <row r="876" customFormat="false" ht="15" hidden="false" customHeight="false" outlineLevel="0" collapsed="false">
      <c r="A876" s="12" t="s">
        <v>1117</v>
      </c>
      <c r="B876" s="12" t="n">
        <v>37</v>
      </c>
      <c r="C876" s="12" t="s">
        <v>43</v>
      </c>
      <c r="D876" s="12" t="s">
        <v>55</v>
      </c>
      <c r="E876" s="12" t="s">
        <v>307</v>
      </c>
      <c r="F876" s="12" t="s">
        <v>62</v>
      </c>
      <c r="G876" s="12" t="s">
        <v>53</v>
      </c>
      <c r="H876" s="12" t="s">
        <v>46</v>
      </c>
      <c r="I876" s="12" t="n">
        <v>17</v>
      </c>
      <c r="J876" s="12" t="s">
        <v>40</v>
      </c>
      <c r="K876" s="12" t="s">
        <v>147</v>
      </c>
      <c r="L876" s="12" t="str">
        <f aca="false">IF(OR(H876="Severe",H876="Life-Threatening"),"Yes","No")</f>
        <v>No</v>
      </c>
      <c r="M876" s="12" t="str">
        <f aca="false">IF(B876&lt;18,"0-17",IF(B876&lt;40,"18-39",IF(B876&lt;60,"40-59","60+")))</f>
        <v>18-39</v>
      </c>
      <c r="N876" s="12" t="str">
        <f aca="false">IF(I876&lt;=1,"0-1 days",IF(I876&lt;=7,"2-7 days",IF(I876&lt;=30,"8-30 days","&gt;30 days")))</f>
        <v>8-30 days</v>
      </c>
    </row>
    <row r="877" customFormat="false" ht="15" hidden="false" customHeight="false" outlineLevel="0" collapsed="false">
      <c r="A877" s="12" t="s">
        <v>1118</v>
      </c>
      <c r="B877" s="12" t="n">
        <v>26</v>
      </c>
      <c r="C877" s="12" t="s">
        <v>43</v>
      </c>
      <c r="D877" s="12" t="s">
        <v>117</v>
      </c>
      <c r="E877" s="12" t="s">
        <v>127</v>
      </c>
      <c r="F877" s="12" t="s">
        <v>128</v>
      </c>
      <c r="G877" s="12" t="s">
        <v>53</v>
      </c>
      <c r="H877" s="12" t="s">
        <v>76</v>
      </c>
      <c r="I877" s="12" t="n">
        <v>17</v>
      </c>
      <c r="J877" s="12" t="s">
        <v>47</v>
      </c>
      <c r="K877" s="12" t="s">
        <v>48</v>
      </c>
      <c r="L877" s="12" t="str">
        <f aca="false">IF(OR(H877="Severe",H877="Life-Threatening"),"Yes","No")</f>
        <v>Yes</v>
      </c>
      <c r="M877" s="12" t="str">
        <f aca="false">IF(B877&lt;18,"0-17",IF(B877&lt;40,"18-39",IF(B877&lt;60,"40-59","60+")))</f>
        <v>18-39</v>
      </c>
      <c r="N877" s="12" t="str">
        <f aca="false">IF(I877&lt;=1,"0-1 days",IF(I877&lt;=7,"2-7 days",IF(I877&lt;=30,"8-30 days","&gt;30 days")))</f>
        <v>8-30 days</v>
      </c>
    </row>
    <row r="878" customFormat="false" ht="15" hidden="false" customHeight="false" outlineLevel="0" collapsed="false">
      <c r="A878" s="12" t="s">
        <v>1119</v>
      </c>
      <c r="B878" s="12" t="n">
        <v>61</v>
      </c>
      <c r="C878" s="12" t="s">
        <v>43</v>
      </c>
      <c r="D878" s="12" t="s">
        <v>35</v>
      </c>
      <c r="E878" s="12" t="s">
        <v>61</v>
      </c>
      <c r="F878" s="12" t="s">
        <v>488</v>
      </c>
      <c r="G878" s="12" t="s">
        <v>53</v>
      </c>
      <c r="H878" s="12" t="s">
        <v>59</v>
      </c>
      <c r="I878" s="12" t="n">
        <v>1</v>
      </c>
      <c r="J878" s="12" t="s">
        <v>47</v>
      </c>
      <c r="K878" s="12" t="s">
        <v>63</v>
      </c>
      <c r="L878" s="12" t="str">
        <f aca="false">IF(OR(H878="Severe",H878="Life-Threatening"),"Yes","No")</f>
        <v>Yes</v>
      </c>
      <c r="M878" s="12" t="str">
        <f aca="false">IF(B878&lt;18,"0-17",IF(B878&lt;40,"18-39",IF(B878&lt;60,"40-59","60+")))</f>
        <v>60+</v>
      </c>
      <c r="N878" s="12" t="str">
        <f aca="false">IF(I878&lt;=1,"0-1 days",IF(I878&lt;=7,"2-7 days",IF(I878&lt;=30,"8-30 days","&gt;30 days")))</f>
        <v>0-1 days</v>
      </c>
    </row>
    <row r="879" customFormat="false" ht="15" hidden="false" customHeight="false" outlineLevel="0" collapsed="false">
      <c r="A879" s="12" t="s">
        <v>1120</v>
      </c>
      <c r="B879" s="12" t="n">
        <v>20</v>
      </c>
      <c r="C879" s="12" t="s">
        <v>43</v>
      </c>
      <c r="D879" s="12" t="s">
        <v>55</v>
      </c>
      <c r="E879" s="12" t="s">
        <v>307</v>
      </c>
      <c r="F879" s="12" t="s">
        <v>249</v>
      </c>
      <c r="G879" s="12" t="s">
        <v>152</v>
      </c>
      <c r="H879" s="12" t="s">
        <v>39</v>
      </c>
      <c r="I879" s="12" t="n">
        <v>2</v>
      </c>
      <c r="J879" s="12" t="s">
        <v>40</v>
      </c>
      <c r="K879" s="12" t="s">
        <v>63</v>
      </c>
      <c r="L879" s="12" t="str">
        <f aca="false">IF(OR(H879="Severe",H879="Life-Threatening"),"Yes","No")</f>
        <v>No</v>
      </c>
      <c r="M879" s="12" t="str">
        <f aca="false">IF(B879&lt;18,"0-17",IF(B879&lt;40,"18-39",IF(B879&lt;60,"40-59","60+")))</f>
        <v>18-39</v>
      </c>
      <c r="N879" s="12" t="str">
        <f aca="false">IF(I879&lt;=1,"0-1 days",IF(I879&lt;=7,"2-7 days",IF(I879&lt;=30,"8-30 days","&gt;30 days")))</f>
        <v>2-7 days</v>
      </c>
    </row>
    <row r="880" customFormat="false" ht="15" hidden="false" customHeight="false" outlineLevel="0" collapsed="false">
      <c r="A880" s="12" t="s">
        <v>1121</v>
      </c>
      <c r="B880" s="12" t="n">
        <v>64</v>
      </c>
      <c r="C880" s="12" t="s">
        <v>34</v>
      </c>
      <c r="D880" s="12" t="s">
        <v>55</v>
      </c>
      <c r="E880" s="12" t="s">
        <v>216</v>
      </c>
      <c r="F880" s="12" t="s">
        <v>62</v>
      </c>
      <c r="G880" s="12" t="s">
        <v>53</v>
      </c>
      <c r="H880" s="12" t="s">
        <v>46</v>
      </c>
      <c r="I880" s="12" t="n">
        <v>17</v>
      </c>
      <c r="J880" s="12" t="s">
        <v>40</v>
      </c>
      <c r="K880" s="12" t="s">
        <v>147</v>
      </c>
      <c r="L880" s="12" t="str">
        <f aca="false">IF(OR(H880="Severe",H880="Life-Threatening"),"Yes","No")</f>
        <v>No</v>
      </c>
      <c r="M880" s="12" t="str">
        <f aca="false">IF(B880&lt;18,"0-17",IF(B880&lt;40,"18-39",IF(B880&lt;60,"40-59","60+")))</f>
        <v>60+</v>
      </c>
      <c r="N880" s="12" t="str">
        <f aca="false">IF(I880&lt;=1,"0-1 days",IF(I880&lt;=7,"2-7 days",IF(I880&lt;=30,"8-30 days","&gt;30 days")))</f>
        <v>8-30 days</v>
      </c>
    </row>
    <row r="881" customFormat="false" ht="15" hidden="false" customHeight="false" outlineLevel="0" collapsed="false">
      <c r="A881" s="12" t="s">
        <v>1122</v>
      </c>
      <c r="B881" s="12" t="n">
        <v>29</v>
      </c>
      <c r="C881" s="12" t="s">
        <v>43</v>
      </c>
      <c r="D881" s="12" t="s">
        <v>55</v>
      </c>
      <c r="E881" s="12" t="s">
        <v>272</v>
      </c>
      <c r="F881" s="12" t="s">
        <v>214</v>
      </c>
      <c r="G881" s="12" t="s">
        <v>115</v>
      </c>
      <c r="H881" s="12" t="s">
        <v>59</v>
      </c>
      <c r="I881" s="12" t="n">
        <v>2</v>
      </c>
      <c r="J881" s="12" t="s">
        <v>67</v>
      </c>
      <c r="K881" s="12" t="s">
        <v>63</v>
      </c>
      <c r="L881" s="12" t="str">
        <f aca="false">IF(OR(H881="Severe",H881="Life-Threatening"),"Yes","No")</f>
        <v>Yes</v>
      </c>
      <c r="M881" s="12" t="str">
        <f aca="false">IF(B881&lt;18,"0-17",IF(B881&lt;40,"18-39",IF(B881&lt;60,"40-59","60+")))</f>
        <v>18-39</v>
      </c>
      <c r="N881" s="12" t="str">
        <f aca="false">IF(I881&lt;=1,"0-1 days",IF(I881&lt;=7,"2-7 days",IF(I881&lt;=30,"8-30 days","&gt;30 days")))</f>
        <v>2-7 days</v>
      </c>
    </row>
    <row r="882" customFormat="false" ht="15" hidden="false" customHeight="false" outlineLevel="0" collapsed="false">
      <c r="A882" s="12" t="s">
        <v>1123</v>
      </c>
      <c r="B882" s="12" t="n">
        <v>1</v>
      </c>
      <c r="C882" s="12" t="s">
        <v>34</v>
      </c>
      <c r="D882" s="12" t="s">
        <v>112</v>
      </c>
      <c r="E882" s="12" t="s">
        <v>538</v>
      </c>
      <c r="F882" s="12" t="s">
        <v>45</v>
      </c>
      <c r="G882" s="12" t="s">
        <v>38</v>
      </c>
      <c r="H882" s="12" t="s">
        <v>46</v>
      </c>
      <c r="I882" s="12" t="n">
        <v>29</v>
      </c>
      <c r="J882" s="12" t="s">
        <v>40</v>
      </c>
      <c r="K882" s="12" t="s">
        <v>63</v>
      </c>
      <c r="L882" s="12" t="str">
        <f aca="false">IF(OR(H882="Severe",H882="Life-Threatening"),"Yes","No")</f>
        <v>No</v>
      </c>
      <c r="M882" s="12" t="str">
        <f aca="false">IF(B882&lt;18,"0-17",IF(B882&lt;40,"18-39",IF(B882&lt;60,"40-59","60+")))</f>
        <v>0-17</v>
      </c>
      <c r="N882" s="12" t="str">
        <f aca="false">IF(I882&lt;=1,"0-1 days",IF(I882&lt;=7,"2-7 days",IF(I882&lt;=30,"8-30 days","&gt;30 days")))</f>
        <v>8-30 days</v>
      </c>
    </row>
    <row r="883" customFormat="false" ht="15" hidden="false" customHeight="false" outlineLevel="0" collapsed="false">
      <c r="A883" s="12" t="s">
        <v>1124</v>
      </c>
      <c r="B883" s="12" t="n">
        <v>34</v>
      </c>
      <c r="C883" s="12" t="s">
        <v>34</v>
      </c>
      <c r="D883" s="12" t="s">
        <v>69</v>
      </c>
      <c r="E883" s="12" t="s">
        <v>307</v>
      </c>
      <c r="F883" s="12" t="s">
        <v>62</v>
      </c>
      <c r="G883" s="12" t="s">
        <v>53</v>
      </c>
      <c r="H883" s="12" t="s">
        <v>39</v>
      </c>
      <c r="I883" s="12" t="n">
        <v>14</v>
      </c>
      <c r="J883" s="12" t="s">
        <v>169</v>
      </c>
      <c r="K883" s="12" t="s">
        <v>48</v>
      </c>
      <c r="L883" s="12" t="str">
        <f aca="false">IF(OR(H883="Severe",H883="Life-Threatening"),"Yes","No")</f>
        <v>No</v>
      </c>
      <c r="M883" s="12" t="str">
        <f aca="false">IF(B883&lt;18,"0-17",IF(B883&lt;40,"18-39",IF(B883&lt;60,"40-59","60+")))</f>
        <v>18-39</v>
      </c>
      <c r="N883" s="12" t="str">
        <f aca="false">IF(I883&lt;=1,"0-1 days",IF(I883&lt;=7,"2-7 days",IF(I883&lt;=30,"8-30 days","&gt;30 days")))</f>
        <v>8-30 days</v>
      </c>
    </row>
    <row r="884" customFormat="false" ht="15" hidden="false" customHeight="false" outlineLevel="0" collapsed="false">
      <c r="A884" s="12" t="s">
        <v>1125</v>
      </c>
      <c r="B884" s="12" t="n">
        <v>25</v>
      </c>
      <c r="C884" s="12" t="s">
        <v>34</v>
      </c>
      <c r="D884" s="12" t="s">
        <v>155</v>
      </c>
      <c r="E884" s="12" t="s">
        <v>113</v>
      </c>
      <c r="F884" s="12" t="s">
        <v>219</v>
      </c>
      <c r="G884" s="12" t="s">
        <v>53</v>
      </c>
      <c r="H884" s="12" t="s">
        <v>39</v>
      </c>
      <c r="I884" s="12" t="n">
        <v>22</v>
      </c>
      <c r="J884" s="12" t="s">
        <v>40</v>
      </c>
      <c r="K884" s="12" t="s">
        <v>48</v>
      </c>
      <c r="L884" s="12" t="str">
        <f aca="false">IF(OR(H884="Severe",H884="Life-Threatening"),"Yes","No")</f>
        <v>No</v>
      </c>
      <c r="M884" s="12" t="str">
        <f aca="false">IF(B884&lt;18,"0-17",IF(B884&lt;40,"18-39",IF(B884&lt;60,"40-59","60+")))</f>
        <v>18-39</v>
      </c>
      <c r="N884" s="12" t="str">
        <f aca="false">IF(I884&lt;=1,"0-1 days",IF(I884&lt;=7,"2-7 days",IF(I884&lt;=30,"8-30 days","&gt;30 days")))</f>
        <v>8-30 days</v>
      </c>
    </row>
    <row r="885" customFormat="false" ht="15" hidden="false" customHeight="false" outlineLevel="0" collapsed="false">
      <c r="A885" s="12" t="s">
        <v>1126</v>
      </c>
      <c r="B885" s="12" t="n">
        <v>29</v>
      </c>
      <c r="C885" s="12" t="s">
        <v>43</v>
      </c>
      <c r="D885" s="12" t="s">
        <v>35</v>
      </c>
      <c r="E885" s="12" t="s">
        <v>191</v>
      </c>
      <c r="F885" s="12" t="s">
        <v>192</v>
      </c>
      <c r="G885" s="12" t="s">
        <v>53</v>
      </c>
      <c r="H885" s="12" t="s">
        <v>76</v>
      </c>
      <c r="I885" s="12" t="n">
        <v>23</v>
      </c>
      <c r="J885" s="12" t="s">
        <v>40</v>
      </c>
      <c r="K885" s="12" t="s">
        <v>48</v>
      </c>
      <c r="L885" s="12" t="str">
        <f aca="false">IF(OR(H885="Severe",H885="Life-Threatening"),"Yes","No")</f>
        <v>Yes</v>
      </c>
      <c r="M885" s="12" t="str">
        <f aca="false">IF(B885&lt;18,"0-17",IF(B885&lt;40,"18-39",IF(B885&lt;60,"40-59","60+")))</f>
        <v>18-39</v>
      </c>
      <c r="N885" s="12" t="str">
        <f aca="false">IF(I885&lt;=1,"0-1 days",IF(I885&lt;=7,"2-7 days",IF(I885&lt;=30,"8-30 days","&gt;30 days")))</f>
        <v>8-30 days</v>
      </c>
    </row>
    <row r="886" customFormat="false" ht="15" hidden="false" customHeight="false" outlineLevel="0" collapsed="false">
      <c r="A886" s="12" t="s">
        <v>1127</v>
      </c>
      <c r="B886" s="12" t="n">
        <v>69</v>
      </c>
      <c r="C886" s="12" t="s">
        <v>34</v>
      </c>
      <c r="D886" s="12" t="s">
        <v>117</v>
      </c>
      <c r="E886" s="12" t="s">
        <v>138</v>
      </c>
      <c r="F886" s="12" t="s">
        <v>139</v>
      </c>
      <c r="G886" s="12" t="s">
        <v>38</v>
      </c>
      <c r="H886" s="12" t="s">
        <v>39</v>
      </c>
      <c r="I886" s="12" t="n">
        <v>28</v>
      </c>
      <c r="J886" s="12" t="s">
        <v>67</v>
      </c>
      <c r="K886" s="12" t="s">
        <v>63</v>
      </c>
      <c r="L886" s="12" t="str">
        <f aca="false">IF(OR(H886="Severe",H886="Life-Threatening"),"Yes","No")</f>
        <v>No</v>
      </c>
      <c r="M886" s="12" t="str">
        <f aca="false">IF(B886&lt;18,"0-17",IF(B886&lt;40,"18-39",IF(B886&lt;60,"40-59","60+")))</f>
        <v>60+</v>
      </c>
      <c r="N886" s="12" t="str">
        <f aca="false">IF(I886&lt;=1,"0-1 days",IF(I886&lt;=7,"2-7 days",IF(I886&lt;=30,"8-30 days","&gt;30 days")))</f>
        <v>8-30 days</v>
      </c>
    </row>
    <row r="887" customFormat="false" ht="15" hidden="false" customHeight="false" outlineLevel="0" collapsed="false">
      <c r="A887" s="12" t="s">
        <v>1128</v>
      </c>
      <c r="B887" s="12" t="n">
        <v>26</v>
      </c>
      <c r="C887" s="12" t="s">
        <v>34</v>
      </c>
      <c r="D887" s="12" t="s">
        <v>234</v>
      </c>
      <c r="E887" s="12" t="s">
        <v>204</v>
      </c>
      <c r="F887" s="12" t="s">
        <v>45</v>
      </c>
      <c r="G887" s="12" t="s">
        <v>38</v>
      </c>
      <c r="H887" s="12" t="s">
        <v>46</v>
      </c>
      <c r="I887" s="12" t="n">
        <v>11</v>
      </c>
      <c r="J887" s="12" t="s">
        <v>40</v>
      </c>
      <c r="K887" s="12" t="s">
        <v>63</v>
      </c>
      <c r="L887" s="12" t="str">
        <f aca="false">IF(OR(H887="Severe",H887="Life-Threatening"),"Yes","No")</f>
        <v>No</v>
      </c>
      <c r="M887" s="12" t="str">
        <f aca="false">IF(B887&lt;18,"0-17",IF(B887&lt;40,"18-39",IF(B887&lt;60,"40-59","60+")))</f>
        <v>18-39</v>
      </c>
      <c r="N887" s="12" t="str">
        <f aca="false">IF(I887&lt;=1,"0-1 days",IF(I887&lt;=7,"2-7 days",IF(I887&lt;=30,"8-30 days","&gt;30 days")))</f>
        <v>8-30 days</v>
      </c>
    </row>
    <row r="888" customFormat="false" ht="15" hidden="false" customHeight="false" outlineLevel="0" collapsed="false">
      <c r="A888" s="12" t="s">
        <v>1129</v>
      </c>
      <c r="B888" s="12" t="n">
        <v>73</v>
      </c>
      <c r="C888" s="12" t="s">
        <v>34</v>
      </c>
      <c r="D888" s="12" t="s">
        <v>35</v>
      </c>
      <c r="E888" s="12" t="s">
        <v>301</v>
      </c>
      <c r="F888" s="12" t="s">
        <v>103</v>
      </c>
      <c r="G888" s="12" t="s">
        <v>104</v>
      </c>
      <c r="H888" s="12" t="s">
        <v>59</v>
      </c>
      <c r="I888" s="12" t="n">
        <v>38</v>
      </c>
      <c r="J888" s="12" t="s">
        <v>105</v>
      </c>
      <c r="K888" s="12" t="s">
        <v>63</v>
      </c>
      <c r="L888" s="12" t="str">
        <f aca="false">IF(OR(H888="Severe",H888="Life-Threatening"),"Yes","No")</f>
        <v>Yes</v>
      </c>
      <c r="M888" s="12" t="str">
        <f aca="false">IF(B888&lt;18,"0-17",IF(B888&lt;40,"18-39",IF(B888&lt;60,"40-59","60+")))</f>
        <v>60+</v>
      </c>
      <c r="N888" s="12" t="str">
        <f aca="false">IF(I888&lt;=1,"0-1 days",IF(I888&lt;=7,"2-7 days",IF(I888&lt;=30,"8-30 days","&gt;30 days")))</f>
        <v>&gt;30 days</v>
      </c>
    </row>
    <row r="889" customFormat="false" ht="15" hidden="false" customHeight="false" outlineLevel="0" collapsed="false">
      <c r="A889" s="12" t="s">
        <v>1130</v>
      </c>
      <c r="B889" s="12" t="n">
        <v>31</v>
      </c>
      <c r="C889" s="12" t="s">
        <v>34</v>
      </c>
      <c r="D889" s="12" t="s">
        <v>149</v>
      </c>
      <c r="E889" s="12" t="s">
        <v>92</v>
      </c>
      <c r="F889" s="12" t="s">
        <v>171</v>
      </c>
      <c r="G889" s="12" t="s">
        <v>53</v>
      </c>
      <c r="H889" s="12" t="s">
        <v>39</v>
      </c>
      <c r="I889" s="12" t="n">
        <v>12</v>
      </c>
      <c r="J889" s="12" t="s">
        <v>47</v>
      </c>
      <c r="K889" s="12" t="s">
        <v>48</v>
      </c>
      <c r="L889" s="12" t="str">
        <f aca="false">IF(OR(H889="Severe",H889="Life-Threatening"),"Yes","No")</f>
        <v>No</v>
      </c>
      <c r="M889" s="12" t="str">
        <f aca="false">IF(B889&lt;18,"0-17",IF(B889&lt;40,"18-39",IF(B889&lt;60,"40-59","60+")))</f>
        <v>18-39</v>
      </c>
      <c r="N889" s="12" t="str">
        <f aca="false">IF(I889&lt;=1,"0-1 days",IF(I889&lt;=7,"2-7 days",IF(I889&lt;=30,"8-30 days","&gt;30 days")))</f>
        <v>8-30 days</v>
      </c>
    </row>
    <row r="890" customFormat="false" ht="15" hidden="false" customHeight="false" outlineLevel="0" collapsed="false">
      <c r="A890" s="12" t="s">
        <v>1131</v>
      </c>
      <c r="B890" s="12" t="n">
        <v>37</v>
      </c>
      <c r="C890" s="12" t="s">
        <v>43</v>
      </c>
      <c r="D890" s="12" t="s">
        <v>102</v>
      </c>
      <c r="E890" s="12" t="s">
        <v>352</v>
      </c>
      <c r="F890" s="12" t="s">
        <v>171</v>
      </c>
      <c r="G890" s="12" t="s">
        <v>53</v>
      </c>
      <c r="H890" s="12" t="s">
        <v>39</v>
      </c>
      <c r="I890" s="12" t="n">
        <v>27</v>
      </c>
      <c r="J890" s="12" t="s">
        <v>40</v>
      </c>
      <c r="K890" s="12" t="s">
        <v>48</v>
      </c>
      <c r="L890" s="12" t="str">
        <f aca="false">IF(OR(H890="Severe",H890="Life-Threatening"),"Yes","No")</f>
        <v>No</v>
      </c>
      <c r="M890" s="12" t="str">
        <f aca="false">IF(B890&lt;18,"0-17",IF(B890&lt;40,"18-39",IF(B890&lt;60,"40-59","60+")))</f>
        <v>18-39</v>
      </c>
      <c r="N890" s="12" t="str">
        <f aca="false">IF(I890&lt;=1,"0-1 days",IF(I890&lt;=7,"2-7 days",IF(I890&lt;=30,"8-30 days","&gt;30 days")))</f>
        <v>8-30 days</v>
      </c>
    </row>
    <row r="891" customFormat="false" ht="15" hidden="false" customHeight="false" outlineLevel="0" collapsed="false">
      <c r="A891" s="12" t="s">
        <v>1132</v>
      </c>
      <c r="B891" s="12" t="n">
        <v>69</v>
      </c>
      <c r="C891" s="12" t="s">
        <v>34</v>
      </c>
      <c r="D891" s="12" t="s">
        <v>117</v>
      </c>
      <c r="E891" s="12" t="s">
        <v>216</v>
      </c>
      <c r="F891" s="12" t="s">
        <v>62</v>
      </c>
      <c r="G891" s="12" t="s">
        <v>53</v>
      </c>
      <c r="H891" s="12" t="s">
        <v>59</v>
      </c>
      <c r="I891" s="12" t="n">
        <v>20</v>
      </c>
      <c r="J891" s="12" t="s">
        <v>47</v>
      </c>
      <c r="K891" s="12" t="s">
        <v>63</v>
      </c>
      <c r="L891" s="12" t="str">
        <f aca="false">IF(OR(H891="Severe",H891="Life-Threatening"),"Yes","No")</f>
        <v>Yes</v>
      </c>
      <c r="M891" s="12" t="str">
        <f aca="false">IF(B891&lt;18,"0-17",IF(B891&lt;40,"18-39",IF(B891&lt;60,"40-59","60+")))</f>
        <v>60+</v>
      </c>
      <c r="N891" s="12" t="str">
        <f aca="false">IF(I891&lt;=1,"0-1 days",IF(I891&lt;=7,"2-7 days",IF(I891&lt;=30,"8-30 days","&gt;30 days")))</f>
        <v>8-30 days</v>
      </c>
    </row>
    <row r="892" customFormat="false" ht="15" hidden="false" customHeight="false" outlineLevel="0" collapsed="false">
      <c r="A892" s="12" t="s">
        <v>1133</v>
      </c>
      <c r="B892" s="12" t="n">
        <v>30</v>
      </c>
      <c r="C892" s="12" t="s">
        <v>43</v>
      </c>
      <c r="D892" s="12" t="s">
        <v>85</v>
      </c>
      <c r="E892" s="12" t="s">
        <v>65</v>
      </c>
      <c r="F892" s="12" t="s">
        <v>237</v>
      </c>
      <c r="G892" s="12" t="s">
        <v>80</v>
      </c>
      <c r="H892" s="12" t="s">
        <v>76</v>
      </c>
      <c r="I892" s="12" t="n">
        <v>14</v>
      </c>
      <c r="J892" s="12" t="s">
        <v>40</v>
      </c>
      <c r="K892" s="12" t="s">
        <v>48</v>
      </c>
      <c r="L892" s="12" t="str">
        <f aca="false">IF(OR(H892="Severe",H892="Life-Threatening"),"Yes","No")</f>
        <v>Yes</v>
      </c>
      <c r="M892" s="12" t="str">
        <f aca="false">IF(B892&lt;18,"0-17",IF(B892&lt;40,"18-39",IF(B892&lt;60,"40-59","60+")))</f>
        <v>18-39</v>
      </c>
      <c r="N892" s="12" t="str">
        <f aca="false">IF(I892&lt;=1,"0-1 days",IF(I892&lt;=7,"2-7 days",IF(I892&lt;=30,"8-30 days","&gt;30 days")))</f>
        <v>8-30 days</v>
      </c>
    </row>
    <row r="893" customFormat="false" ht="15" hidden="false" customHeight="false" outlineLevel="0" collapsed="false">
      <c r="A893" s="12" t="s">
        <v>1134</v>
      </c>
      <c r="B893" s="12" t="n">
        <v>52</v>
      </c>
      <c r="C893" s="12" t="s">
        <v>43</v>
      </c>
      <c r="D893" s="12" t="s">
        <v>327</v>
      </c>
      <c r="E893" s="12" t="s">
        <v>304</v>
      </c>
      <c r="F893" s="12" t="s">
        <v>165</v>
      </c>
      <c r="G893" s="12" t="s">
        <v>53</v>
      </c>
      <c r="H893" s="12" t="s">
        <v>46</v>
      </c>
      <c r="I893" s="12" t="n">
        <v>8</v>
      </c>
      <c r="J893" s="12" t="s">
        <v>40</v>
      </c>
      <c r="K893" s="12" t="s">
        <v>48</v>
      </c>
      <c r="L893" s="12" t="str">
        <f aca="false">IF(OR(H893="Severe",H893="Life-Threatening"),"Yes","No")</f>
        <v>No</v>
      </c>
      <c r="M893" s="12" t="str">
        <f aca="false">IF(B893&lt;18,"0-17",IF(B893&lt;40,"18-39",IF(B893&lt;60,"40-59","60+")))</f>
        <v>40-59</v>
      </c>
      <c r="N893" s="12" t="str">
        <f aca="false">IF(I893&lt;=1,"0-1 days",IF(I893&lt;=7,"2-7 days",IF(I893&lt;=30,"8-30 days","&gt;30 days")))</f>
        <v>8-30 days</v>
      </c>
    </row>
    <row r="894" customFormat="false" ht="15" hidden="false" customHeight="false" outlineLevel="0" collapsed="false">
      <c r="A894" s="12" t="s">
        <v>1135</v>
      </c>
      <c r="B894" s="12" t="n">
        <v>38</v>
      </c>
      <c r="C894" s="12" t="s">
        <v>43</v>
      </c>
      <c r="D894" s="12" t="s">
        <v>190</v>
      </c>
      <c r="E894" s="12" t="s">
        <v>216</v>
      </c>
      <c r="F894" s="12" t="s">
        <v>357</v>
      </c>
      <c r="G894" s="12" t="s">
        <v>72</v>
      </c>
      <c r="H894" s="12" t="s">
        <v>59</v>
      </c>
      <c r="I894" s="12" t="n">
        <v>12</v>
      </c>
      <c r="J894" s="12" t="s">
        <v>40</v>
      </c>
      <c r="K894" s="12" t="s">
        <v>63</v>
      </c>
      <c r="L894" s="12" t="str">
        <f aca="false">IF(OR(H894="Severe",H894="Life-Threatening"),"Yes","No")</f>
        <v>Yes</v>
      </c>
      <c r="M894" s="12" t="str">
        <f aca="false">IF(B894&lt;18,"0-17",IF(B894&lt;40,"18-39",IF(B894&lt;60,"40-59","60+")))</f>
        <v>18-39</v>
      </c>
      <c r="N894" s="12" t="str">
        <f aca="false">IF(I894&lt;=1,"0-1 days",IF(I894&lt;=7,"2-7 days",IF(I894&lt;=30,"8-30 days","&gt;30 days")))</f>
        <v>8-30 days</v>
      </c>
    </row>
    <row r="895" customFormat="false" ht="15" hidden="false" customHeight="false" outlineLevel="0" collapsed="false">
      <c r="A895" s="12" t="s">
        <v>1136</v>
      </c>
      <c r="B895" s="12" t="n">
        <v>53</v>
      </c>
      <c r="C895" s="12" t="s">
        <v>43</v>
      </c>
      <c r="D895" s="12" t="s">
        <v>35</v>
      </c>
      <c r="E895" s="12" t="s">
        <v>118</v>
      </c>
      <c r="F895" s="12" t="s">
        <v>192</v>
      </c>
      <c r="G895" s="12" t="s">
        <v>53</v>
      </c>
      <c r="H895" s="12" t="s">
        <v>59</v>
      </c>
      <c r="I895" s="12" t="n">
        <v>19</v>
      </c>
      <c r="J895" s="12" t="s">
        <v>169</v>
      </c>
      <c r="K895" s="12" t="s">
        <v>63</v>
      </c>
      <c r="L895" s="12" t="str">
        <f aca="false">IF(OR(H895="Severe",H895="Life-Threatening"),"Yes","No")</f>
        <v>Yes</v>
      </c>
      <c r="M895" s="12" t="str">
        <f aca="false">IF(B895&lt;18,"0-17",IF(B895&lt;40,"18-39",IF(B895&lt;60,"40-59","60+")))</f>
        <v>40-59</v>
      </c>
      <c r="N895" s="12" t="str">
        <f aca="false">IF(I895&lt;=1,"0-1 days",IF(I895&lt;=7,"2-7 days",IF(I895&lt;=30,"8-30 days","&gt;30 days")))</f>
        <v>8-30 days</v>
      </c>
    </row>
    <row r="896" customFormat="false" ht="15" hidden="false" customHeight="false" outlineLevel="0" collapsed="false">
      <c r="A896" s="12" t="s">
        <v>1137</v>
      </c>
      <c r="B896" s="12" t="n">
        <v>68</v>
      </c>
      <c r="C896" s="12" t="s">
        <v>34</v>
      </c>
      <c r="D896" s="12" t="s">
        <v>327</v>
      </c>
      <c r="E896" s="12" t="s">
        <v>164</v>
      </c>
      <c r="F896" s="12" t="s">
        <v>305</v>
      </c>
      <c r="G896" s="12" t="s">
        <v>177</v>
      </c>
      <c r="H896" s="12" t="s">
        <v>46</v>
      </c>
      <c r="I896" s="12" t="n">
        <v>16</v>
      </c>
      <c r="J896" s="12" t="s">
        <v>40</v>
      </c>
      <c r="K896" s="12" t="s">
        <v>48</v>
      </c>
      <c r="L896" s="12" t="str">
        <f aca="false">IF(OR(H896="Severe",H896="Life-Threatening"),"Yes","No")</f>
        <v>No</v>
      </c>
      <c r="M896" s="12" t="str">
        <f aca="false">IF(B896&lt;18,"0-17",IF(B896&lt;40,"18-39",IF(B896&lt;60,"40-59","60+")))</f>
        <v>60+</v>
      </c>
      <c r="N896" s="12" t="str">
        <f aca="false">IF(I896&lt;=1,"0-1 days",IF(I896&lt;=7,"2-7 days",IF(I896&lt;=30,"8-30 days","&gt;30 days")))</f>
        <v>8-30 days</v>
      </c>
    </row>
    <row r="897" customFormat="false" ht="15" hidden="false" customHeight="false" outlineLevel="0" collapsed="false">
      <c r="A897" s="12" t="s">
        <v>1138</v>
      </c>
      <c r="B897" s="12" t="n">
        <v>69</v>
      </c>
      <c r="C897" s="12" t="s">
        <v>34</v>
      </c>
      <c r="D897" s="12" t="s">
        <v>35</v>
      </c>
      <c r="E897" s="12" t="s">
        <v>158</v>
      </c>
      <c r="F897" s="12" t="s">
        <v>249</v>
      </c>
      <c r="G897" s="12" t="s">
        <v>152</v>
      </c>
      <c r="H897" s="12" t="s">
        <v>46</v>
      </c>
      <c r="I897" s="12" t="n">
        <v>11</v>
      </c>
      <c r="J897" s="12" t="s">
        <v>40</v>
      </c>
      <c r="K897" s="12" t="s">
        <v>147</v>
      </c>
      <c r="L897" s="12" t="str">
        <f aca="false">IF(OR(H897="Severe",H897="Life-Threatening"),"Yes","No")</f>
        <v>No</v>
      </c>
      <c r="M897" s="12" t="str">
        <f aca="false">IF(B897&lt;18,"0-17",IF(B897&lt;40,"18-39",IF(B897&lt;60,"40-59","60+")))</f>
        <v>60+</v>
      </c>
      <c r="N897" s="12" t="str">
        <f aca="false">IF(I897&lt;=1,"0-1 days",IF(I897&lt;=7,"2-7 days",IF(I897&lt;=30,"8-30 days","&gt;30 days")))</f>
        <v>8-30 days</v>
      </c>
    </row>
    <row r="898" customFormat="false" ht="15" hidden="false" customHeight="false" outlineLevel="0" collapsed="false">
      <c r="A898" s="12" t="s">
        <v>1139</v>
      </c>
      <c r="B898" s="12" t="n">
        <v>27</v>
      </c>
      <c r="C898" s="12" t="s">
        <v>34</v>
      </c>
      <c r="D898" s="12" t="s">
        <v>55</v>
      </c>
      <c r="E898" s="12" t="s">
        <v>243</v>
      </c>
      <c r="F898" s="12" t="s">
        <v>348</v>
      </c>
      <c r="G898" s="12" t="s">
        <v>94</v>
      </c>
      <c r="H898" s="12" t="s">
        <v>39</v>
      </c>
      <c r="I898" s="12" t="n">
        <v>29</v>
      </c>
      <c r="J898" s="12" t="s">
        <v>169</v>
      </c>
      <c r="K898" s="12" t="s">
        <v>41</v>
      </c>
      <c r="L898" s="12" t="str">
        <f aca="false">IF(OR(H898="Severe",H898="Life-Threatening"),"Yes","No")</f>
        <v>No</v>
      </c>
      <c r="M898" s="12" t="str">
        <f aca="false">IF(B898&lt;18,"0-17",IF(B898&lt;40,"18-39",IF(B898&lt;60,"40-59","60+")))</f>
        <v>18-39</v>
      </c>
      <c r="N898" s="12" t="str">
        <f aca="false">IF(I898&lt;=1,"0-1 days",IF(I898&lt;=7,"2-7 days",IF(I898&lt;=30,"8-30 days","&gt;30 days")))</f>
        <v>8-30 days</v>
      </c>
    </row>
    <row r="899" customFormat="false" ht="15" hidden="false" customHeight="false" outlineLevel="0" collapsed="false">
      <c r="A899" s="12" t="s">
        <v>1140</v>
      </c>
      <c r="B899" s="12" t="n">
        <v>61</v>
      </c>
      <c r="C899" s="12" t="s">
        <v>34</v>
      </c>
      <c r="D899" s="12" t="s">
        <v>88</v>
      </c>
      <c r="E899" s="12" t="s">
        <v>383</v>
      </c>
      <c r="F899" s="12" t="s">
        <v>235</v>
      </c>
      <c r="G899" s="12" t="s">
        <v>53</v>
      </c>
      <c r="H899" s="12" t="s">
        <v>46</v>
      </c>
      <c r="I899" s="12" t="n">
        <v>23</v>
      </c>
      <c r="J899" s="12" t="s">
        <v>40</v>
      </c>
      <c r="K899" s="12" t="s">
        <v>147</v>
      </c>
      <c r="L899" s="12" t="str">
        <f aca="false">IF(OR(H899="Severe",H899="Life-Threatening"),"Yes","No")</f>
        <v>No</v>
      </c>
      <c r="M899" s="12" t="str">
        <f aca="false">IF(B899&lt;18,"0-17",IF(B899&lt;40,"18-39",IF(B899&lt;60,"40-59","60+")))</f>
        <v>60+</v>
      </c>
      <c r="N899" s="12" t="str">
        <f aca="false">IF(I899&lt;=1,"0-1 days",IF(I899&lt;=7,"2-7 days",IF(I899&lt;=30,"8-30 days","&gt;30 days")))</f>
        <v>8-30 days</v>
      </c>
    </row>
    <row r="900" customFormat="false" ht="15" hidden="false" customHeight="false" outlineLevel="0" collapsed="false">
      <c r="A900" s="12" t="s">
        <v>1141</v>
      </c>
      <c r="B900" s="12" t="n">
        <v>70</v>
      </c>
      <c r="C900" s="12" t="s">
        <v>43</v>
      </c>
      <c r="D900" s="12" t="s">
        <v>35</v>
      </c>
      <c r="E900" s="12" t="s">
        <v>315</v>
      </c>
      <c r="F900" s="12" t="s">
        <v>62</v>
      </c>
      <c r="G900" s="12" t="s">
        <v>53</v>
      </c>
      <c r="H900" s="12" t="s">
        <v>46</v>
      </c>
      <c r="I900" s="12" t="n">
        <v>14</v>
      </c>
      <c r="J900" s="12" t="s">
        <v>40</v>
      </c>
      <c r="K900" s="12" t="s">
        <v>41</v>
      </c>
      <c r="L900" s="12" t="str">
        <f aca="false">IF(OR(H900="Severe",H900="Life-Threatening"),"Yes","No")</f>
        <v>No</v>
      </c>
      <c r="M900" s="12" t="str">
        <f aca="false">IF(B900&lt;18,"0-17",IF(B900&lt;40,"18-39",IF(B900&lt;60,"40-59","60+")))</f>
        <v>60+</v>
      </c>
      <c r="N900" s="12" t="str">
        <f aca="false">IF(I900&lt;=1,"0-1 days",IF(I900&lt;=7,"2-7 days",IF(I900&lt;=30,"8-30 days","&gt;30 days")))</f>
        <v>8-30 days</v>
      </c>
    </row>
    <row r="901" customFormat="false" ht="15" hidden="false" customHeight="false" outlineLevel="0" collapsed="false">
      <c r="A901" s="12" t="s">
        <v>1142</v>
      </c>
      <c r="B901" s="12" t="n">
        <v>69</v>
      </c>
      <c r="C901" s="12" t="s">
        <v>34</v>
      </c>
      <c r="D901" s="12" t="s">
        <v>55</v>
      </c>
      <c r="E901" s="12" t="s">
        <v>44</v>
      </c>
      <c r="F901" s="12" t="s">
        <v>45</v>
      </c>
      <c r="G901" s="12" t="s">
        <v>38</v>
      </c>
      <c r="H901" s="12" t="s">
        <v>46</v>
      </c>
      <c r="I901" s="12" t="n">
        <v>9</v>
      </c>
      <c r="J901" s="12" t="s">
        <v>40</v>
      </c>
      <c r="K901" s="12" t="s">
        <v>147</v>
      </c>
      <c r="L901" s="12" t="str">
        <f aca="false">IF(OR(H901="Severe",H901="Life-Threatening"),"Yes","No")</f>
        <v>No</v>
      </c>
      <c r="M901" s="12" t="str">
        <f aca="false">IF(B901&lt;18,"0-17",IF(B901&lt;40,"18-39",IF(B901&lt;60,"40-59","60+")))</f>
        <v>60+</v>
      </c>
      <c r="N901" s="12" t="str">
        <f aca="false">IF(I901&lt;=1,"0-1 days",IF(I901&lt;=7,"2-7 days",IF(I901&lt;=30,"8-30 days","&gt;30 days")))</f>
        <v>8-30 days</v>
      </c>
    </row>
    <row r="902" customFormat="false" ht="15" hidden="false" customHeight="false" outlineLevel="0" collapsed="false">
      <c r="A902" s="12" t="s">
        <v>1143</v>
      </c>
      <c r="B902" s="12" t="n">
        <v>95</v>
      </c>
      <c r="C902" s="12" t="s">
        <v>43</v>
      </c>
      <c r="D902" s="12" t="s">
        <v>55</v>
      </c>
      <c r="E902" s="12" t="s">
        <v>301</v>
      </c>
      <c r="F902" s="12" t="s">
        <v>302</v>
      </c>
      <c r="G902" s="12" t="s">
        <v>53</v>
      </c>
      <c r="H902" s="12" t="s">
        <v>39</v>
      </c>
      <c r="I902" s="12" t="n">
        <v>8</v>
      </c>
      <c r="J902" s="12" t="s">
        <v>40</v>
      </c>
      <c r="K902" s="12" t="s">
        <v>147</v>
      </c>
      <c r="L902" s="12" t="str">
        <f aca="false">IF(OR(H902="Severe",H902="Life-Threatening"),"Yes","No")</f>
        <v>No</v>
      </c>
      <c r="M902" s="12" t="str">
        <f aca="false">IF(B902&lt;18,"0-17",IF(B902&lt;40,"18-39",IF(B902&lt;60,"40-59","60+")))</f>
        <v>60+</v>
      </c>
      <c r="N902" s="12" t="str">
        <f aca="false">IF(I902&lt;=1,"0-1 days",IF(I902&lt;=7,"2-7 days",IF(I902&lt;=30,"8-30 days","&gt;30 days")))</f>
        <v>8-30 days</v>
      </c>
    </row>
    <row r="903" customFormat="false" ht="15" hidden="false" customHeight="false" outlineLevel="0" collapsed="false">
      <c r="A903" s="12" t="s">
        <v>1144</v>
      </c>
      <c r="B903" s="12" t="n">
        <v>34</v>
      </c>
      <c r="C903" s="12" t="s">
        <v>34</v>
      </c>
      <c r="D903" s="12" t="s">
        <v>55</v>
      </c>
      <c r="E903" s="12" t="s">
        <v>268</v>
      </c>
      <c r="F903" s="12" t="s">
        <v>274</v>
      </c>
      <c r="G903" s="12" t="s">
        <v>146</v>
      </c>
      <c r="H903" s="12" t="s">
        <v>59</v>
      </c>
      <c r="I903" s="12" t="n">
        <v>23</v>
      </c>
      <c r="J903" s="12" t="s">
        <v>47</v>
      </c>
      <c r="K903" s="12" t="s">
        <v>48</v>
      </c>
      <c r="L903" s="12" t="str">
        <f aca="false">IF(OR(H903="Severe",H903="Life-Threatening"),"Yes","No")</f>
        <v>Yes</v>
      </c>
      <c r="M903" s="12" t="str">
        <f aca="false">IF(B903&lt;18,"0-17",IF(B903&lt;40,"18-39",IF(B903&lt;60,"40-59","60+")))</f>
        <v>18-39</v>
      </c>
      <c r="N903" s="12" t="str">
        <f aca="false">IF(I903&lt;=1,"0-1 days",IF(I903&lt;=7,"2-7 days",IF(I903&lt;=30,"8-30 days","&gt;30 days")))</f>
        <v>8-30 days</v>
      </c>
    </row>
    <row r="904" customFormat="false" ht="15" hidden="false" customHeight="false" outlineLevel="0" collapsed="false">
      <c r="A904" s="12" t="s">
        <v>1145</v>
      </c>
      <c r="B904" s="12" t="n">
        <v>69</v>
      </c>
      <c r="C904" s="12" t="s">
        <v>43</v>
      </c>
      <c r="D904" s="12" t="s">
        <v>102</v>
      </c>
      <c r="E904" s="12" t="s">
        <v>113</v>
      </c>
      <c r="F904" s="12" t="s">
        <v>219</v>
      </c>
      <c r="G904" s="12" t="s">
        <v>53</v>
      </c>
      <c r="H904" s="12" t="s">
        <v>39</v>
      </c>
      <c r="I904" s="12" t="n">
        <v>4</v>
      </c>
      <c r="J904" s="12" t="s">
        <v>40</v>
      </c>
      <c r="K904" s="12" t="s">
        <v>48</v>
      </c>
      <c r="L904" s="12" t="str">
        <f aca="false">IF(OR(H904="Severe",H904="Life-Threatening"),"Yes","No")</f>
        <v>No</v>
      </c>
      <c r="M904" s="12" t="str">
        <f aca="false">IF(B904&lt;18,"0-17",IF(B904&lt;40,"18-39",IF(B904&lt;60,"40-59","60+")))</f>
        <v>60+</v>
      </c>
      <c r="N904" s="12" t="str">
        <f aca="false">IF(I904&lt;=1,"0-1 days",IF(I904&lt;=7,"2-7 days",IF(I904&lt;=30,"8-30 days","&gt;30 days")))</f>
        <v>2-7 days</v>
      </c>
    </row>
    <row r="905" customFormat="false" ht="15" hidden="false" customHeight="false" outlineLevel="0" collapsed="false">
      <c r="A905" s="12" t="s">
        <v>1146</v>
      </c>
      <c r="B905" s="12" t="n">
        <v>41</v>
      </c>
      <c r="C905" s="12" t="s">
        <v>43</v>
      </c>
      <c r="D905" s="12" t="s">
        <v>202</v>
      </c>
      <c r="E905" s="12" t="s">
        <v>138</v>
      </c>
      <c r="F905" s="12" t="s">
        <v>139</v>
      </c>
      <c r="G905" s="12" t="s">
        <v>38</v>
      </c>
      <c r="H905" s="12" t="s">
        <v>46</v>
      </c>
      <c r="I905" s="12" t="n">
        <v>30</v>
      </c>
      <c r="J905" s="12" t="s">
        <v>47</v>
      </c>
      <c r="K905" s="12" t="s">
        <v>48</v>
      </c>
      <c r="L905" s="12" t="str">
        <f aca="false">IF(OR(H905="Severe",H905="Life-Threatening"),"Yes","No")</f>
        <v>No</v>
      </c>
      <c r="M905" s="12" t="str">
        <f aca="false">IF(B905&lt;18,"0-17",IF(B905&lt;40,"18-39",IF(B905&lt;60,"40-59","60+")))</f>
        <v>40-59</v>
      </c>
      <c r="N905" s="12" t="str">
        <f aca="false">IF(I905&lt;=1,"0-1 days",IF(I905&lt;=7,"2-7 days",IF(I905&lt;=30,"8-30 days","&gt;30 days")))</f>
        <v>8-30 days</v>
      </c>
    </row>
    <row r="906" customFormat="false" ht="15" hidden="false" customHeight="false" outlineLevel="0" collapsed="false">
      <c r="A906" s="12" t="s">
        <v>1147</v>
      </c>
      <c r="B906" s="12" t="n">
        <v>26</v>
      </c>
      <c r="C906" s="12" t="s">
        <v>43</v>
      </c>
      <c r="D906" s="12" t="s">
        <v>149</v>
      </c>
      <c r="E906" s="12" t="s">
        <v>156</v>
      </c>
      <c r="F906" s="12" t="s">
        <v>93</v>
      </c>
      <c r="G906" s="12" t="s">
        <v>94</v>
      </c>
      <c r="H906" s="12" t="s">
        <v>39</v>
      </c>
      <c r="I906" s="12" t="n">
        <v>15</v>
      </c>
      <c r="J906" s="12" t="s">
        <v>40</v>
      </c>
      <c r="K906" s="12" t="s">
        <v>41</v>
      </c>
      <c r="L906" s="12" t="str">
        <f aca="false">IF(OR(H906="Severe",H906="Life-Threatening"),"Yes","No")</f>
        <v>No</v>
      </c>
      <c r="M906" s="12" t="str">
        <f aca="false">IF(B906&lt;18,"0-17",IF(B906&lt;40,"18-39",IF(B906&lt;60,"40-59","60+")))</f>
        <v>18-39</v>
      </c>
      <c r="N906" s="12" t="str">
        <f aca="false">IF(I906&lt;=1,"0-1 days",IF(I906&lt;=7,"2-7 days",IF(I906&lt;=30,"8-30 days","&gt;30 days")))</f>
        <v>8-30 days</v>
      </c>
    </row>
    <row r="907" customFormat="false" ht="15" hidden="false" customHeight="false" outlineLevel="0" collapsed="false">
      <c r="A907" s="12" t="s">
        <v>1148</v>
      </c>
      <c r="B907" s="12" t="n">
        <v>71</v>
      </c>
      <c r="C907" s="12" t="s">
        <v>34</v>
      </c>
      <c r="D907" s="12" t="s">
        <v>234</v>
      </c>
      <c r="E907" s="12" t="s">
        <v>74</v>
      </c>
      <c r="F907" s="12" t="s">
        <v>139</v>
      </c>
      <c r="G907" s="12" t="s">
        <v>38</v>
      </c>
      <c r="H907" s="12" t="s">
        <v>76</v>
      </c>
      <c r="I907" s="12" t="n">
        <v>9</v>
      </c>
      <c r="J907" s="12" t="s">
        <v>40</v>
      </c>
      <c r="K907" s="12" t="s">
        <v>41</v>
      </c>
      <c r="L907" s="12" t="str">
        <f aca="false">IF(OR(H907="Severe",H907="Life-Threatening"),"Yes","No")</f>
        <v>Yes</v>
      </c>
      <c r="M907" s="12" t="str">
        <f aca="false">IF(B907&lt;18,"0-17",IF(B907&lt;40,"18-39",IF(B907&lt;60,"40-59","60+")))</f>
        <v>60+</v>
      </c>
      <c r="N907" s="12" t="str">
        <f aca="false">IF(I907&lt;=1,"0-1 days",IF(I907&lt;=7,"2-7 days",IF(I907&lt;=30,"8-30 days","&gt;30 days")))</f>
        <v>8-30 days</v>
      </c>
    </row>
    <row r="908" customFormat="false" ht="15" hidden="false" customHeight="false" outlineLevel="0" collapsed="false">
      <c r="A908" s="12" t="s">
        <v>1149</v>
      </c>
      <c r="B908" s="12" t="n">
        <v>75</v>
      </c>
      <c r="C908" s="12" t="s">
        <v>34</v>
      </c>
      <c r="D908" s="12" t="s">
        <v>245</v>
      </c>
      <c r="E908" s="12" t="s">
        <v>110</v>
      </c>
      <c r="F908" s="12" t="s">
        <v>322</v>
      </c>
      <c r="G908" s="12" t="s">
        <v>53</v>
      </c>
      <c r="H908" s="12" t="s">
        <v>76</v>
      </c>
      <c r="I908" s="12" t="n">
        <v>20</v>
      </c>
      <c r="J908" s="12" t="s">
        <v>47</v>
      </c>
      <c r="K908" s="12" t="s">
        <v>63</v>
      </c>
      <c r="L908" s="12" t="str">
        <f aca="false">IF(OR(H908="Severe",H908="Life-Threatening"),"Yes","No")</f>
        <v>Yes</v>
      </c>
      <c r="M908" s="12" t="str">
        <f aca="false">IF(B908&lt;18,"0-17",IF(B908&lt;40,"18-39",IF(B908&lt;60,"40-59","60+")))</f>
        <v>60+</v>
      </c>
      <c r="N908" s="12" t="str">
        <f aca="false">IF(I908&lt;=1,"0-1 days",IF(I908&lt;=7,"2-7 days",IF(I908&lt;=30,"8-30 days","&gt;30 days")))</f>
        <v>8-30 days</v>
      </c>
    </row>
    <row r="909" customFormat="false" ht="15" hidden="false" customHeight="false" outlineLevel="0" collapsed="false">
      <c r="A909" s="12" t="s">
        <v>1150</v>
      </c>
      <c r="B909" s="12" t="n">
        <v>58</v>
      </c>
      <c r="C909" s="12" t="s">
        <v>34</v>
      </c>
      <c r="D909" s="12" t="s">
        <v>112</v>
      </c>
      <c r="E909" s="12" t="s">
        <v>241</v>
      </c>
      <c r="F909" s="12" t="s">
        <v>135</v>
      </c>
      <c r="G909" s="12" t="s">
        <v>136</v>
      </c>
      <c r="H909" s="12" t="s">
        <v>46</v>
      </c>
      <c r="I909" s="12" t="n">
        <v>8</v>
      </c>
      <c r="J909" s="12" t="s">
        <v>40</v>
      </c>
      <c r="K909" s="12" t="s">
        <v>63</v>
      </c>
      <c r="L909" s="12" t="str">
        <f aca="false">IF(OR(H909="Severe",H909="Life-Threatening"),"Yes","No")</f>
        <v>No</v>
      </c>
      <c r="M909" s="12" t="str">
        <f aca="false">IF(B909&lt;18,"0-17",IF(B909&lt;40,"18-39",IF(B909&lt;60,"40-59","60+")))</f>
        <v>40-59</v>
      </c>
      <c r="N909" s="12" t="str">
        <f aca="false">IF(I909&lt;=1,"0-1 days",IF(I909&lt;=7,"2-7 days",IF(I909&lt;=30,"8-30 days","&gt;30 days")))</f>
        <v>8-30 days</v>
      </c>
    </row>
    <row r="910" customFormat="false" ht="15" hidden="false" customHeight="false" outlineLevel="0" collapsed="false">
      <c r="A910" s="12" t="s">
        <v>1151</v>
      </c>
      <c r="B910" s="12" t="n">
        <v>53</v>
      </c>
      <c r="C910" s="12" t="s">
        <v>43</v>
      </c>
      <c r="D910" s="12" t="s">
        <v>55</v>
      </c>
      <c r="E910" s="12" t="s">
        <v>369</v>
      </c>
      <c r="F910" s="12" t="s">
        <v>62</v>
      </c>
      <c r="G910" s="12" t="s">
        <v>53</v>
      </c>
      <c r="H910" s="12" t="s">
        <v>46</v>
      </c>
      <c r="I910" s="12" t="n">
        <v>8</v>
      </c>
      <c r="J910" s="12" t="s">
        <v>47</v>
      </c>
      <c r="K910" s="12" t="s">
        <v>48</v>
      </c>
      <c r="L910" s="12" t="str">
        <f aca="false">IF(OR(H910="Severe",H910="Life-Threatening"),"Yes","No")</f>
        <v>No</v>
      </c>
      <c r="M910" s="12" t="str">
        <f aca="false">IF(B910&lt;18,"0-17",IF(B910&lt;40,"18-39",IF(B910&lt;60,"40-59","60+")))</f>
        <v>40-59</v>
      </c>
      <c r="N910" s="12" t="str">
        <f aca="false">IF(I910&lt;=1,"0-1 days",IF(I910&lt;=7,"2-7 days",IF(I910&lt;=30,"8-30 days","&gt;30 days")))</f>
        <v>8-30 days</v>
      </c>
    </row>
    <row r="911" customFormat="false" ht="15" hidden="false" customHeight="false" outlineLevel="0" collapsed="false">
      <c r="A911" s="12" t="s">
        <v>1152</v>
      </c>
      <c r="B911" s="12" t="n">
        <v>35</v>
      </c>
      <c r="C911" s="12" t="s">
        <v>43</v>
      </c>
      <c r="D911" s="12" t="s">
        <v>123</v>
      </c>
      <c r="E911" s="12" t="s">
        <v>266</v>
      </c>
      <c r="F911" s="12" t="s">
        <v>114</v>
      </c>
      <c r="G911" s="12" t="s">
        <v>115</v>
      </c>
      <c r="H911" s="12" t="s">
        <v>59</v>
      </c>
      <c r="I911" s="12" t="n">
        <v>41</v>
      </c>
      <c r="J911" s="12" t="s">
        <v>47</v>
      </c>
      <c r="K911" s="12" t="s">
        <v>147</v>
      </c>
      <c r="L911" s="12" t="str">
        <f aca="false">IF(OR(H911="Severe",H911="Life-Threatening"),"Yes","No")</f>
        <v>Yes</v>
      </c>
      <c r="M911" s="12" t="str">
        <f aca="false">IF(B911&lt;18,"0-17",IF(B911&lt;40,"18-39",IF(B911&lt;60,"40-59","60+")))</f>
        <v>18-39</v>
      </c>
      <c r="N911" s="12" t="str">
        <f aca="false">IF(I911&lt;=1,"0-1 days",IF(I911&lt;=7,"2-7 days",IF(I911&lt;=30,"8-30 days","&gt;30 days")))</f>
        <v>&gt;30 days</v>
      </c>
    </row>
    <row r="912" customFormat="false" ht="15" hidden="false" customHeight="false" outlineLevel="0" collapsed="false">
      <c r="A912" s="12" t="s">
        <v>1153</v>
      </c>
      <c r="B912" s="12" t="n">
        <v>42</v>
      </c>
      <c r="C912" s="12" t="s">
        <v>43</v>
      </c>
      <c r="D912" s="12" t="s">
        <v>69</v>
      </c>
      <c r="E912" s="12" t="s">
        <v>241</v>
      </c>
      <c r="F912" s="12" t="s">
        <v>135</v>
      </c>
      <c r="G912" s="12" t="s">
        <v>136</v>
      </c>
      <c r="H912" s="12" t="s">
        <v>46</v>
      </c>
      <c r="I912" s="12" t="n">
        <v>2</v>
      </c>
      <c r="J912" s="12" t="s">
        <v>40</v>
      </c>
      <c r="K912" s="12" t="s">
        <v>63</v>
      </c>
      <c r="L912" s="12" t="str">
        <f aca="false">IF(OR(H912="Severe",H912="Life-Threatening"),"Yes","No")</f>
        <v>No</v>
      </c>
      <c r="M912" s="12" t="str">
        <f aca="false">IF(B912&lt;18,"0-17",IF(B912&lt;40,"18-39",IF(B912&lt;60,"40-59","60+")))</f>
        <v>40-59</v>
      </c>
      <c r="N912" s="12" t="str">
        <f aca="false">IF(I912&lt;=1,"0-1 days",IF(I912&lt;=7,"2-7 days",IF(I912&lt;=30,"8-30 days","&gt;30 days")))</f>
        <v>2-7 days</v>
      </c>
    </row>
    <row r="913" customFormat="false" ht="15" hidden="false" customHeight="false" outlineLevel="0" collapsed="false">
      <c r="A913" s="12" t="s">
        <v>1154</v>
      </c>
      <c r="B913" s="12" t="n">
        <v>88</v>
      </c>
      <c r="C913" s="12" t="s">
        <v>43</v>
      </c>
      <c r="D913" s="12" t="s">
        <v>474</v>
      </c>
      <c r="E913" s="12" t="s">
        <v>352</v>
      </c>
      <c r="F913" s="12" t="s">
        <v>171</v>
      </c>
      <c r="G913" s="12" t="s">
        <v>53</v>
      </c>
      <c r="H913" s="12" t="s">
        <v>76</v>
      </c>
      <c r="I913" s="12" t="n">
        <v>29</v>
      </c>
      <c r="J913" s="12" t="s">
        <v>169</v>
      </c>
      <c r="K913" s="12" t="s">
        <v>48</v>
      </c>
      <c r="L913" s="12" t="str">
        <f aca="false">IF(OR(H913="Severe",H913="Life-Threatening"),"Yes","No")</f>
        <v>Yes</v>
      </c>
      <c r="M913" s="12" t="str">
        <f aca="false">IF(B913&lt;18,"0-17",IF(B913&lt;40,"18-39",IF(B913&lt;60,"40-59","60+")))</f>
        <v>60+</v>
      </c>
      <c r="N913" s="12" t="str">
        <f aca="false">IF(I913&lt;=1,"0-1 days",IF(I913&lt;=7,"2-7 days",IF(I913&lt;=30,"8-30 days","&gt;30 days")))</f>
        <v>8-30 days</v>
      </c>
    </row>
    <row r="914" customFormat="false" ht="15" hidden="false" customHeight="false" outlineLevel="0" collapsed="false">
      <c r="A914" s="12" t="s">
        <v>1155</v>
      </c>
      <c r="B914" s="12" t="n">
        <v>71</v>
      </c>
      <c r="C914" s="12" t="s">
        <v>43</v>
      </c>
      <c r="D914" s="12" t="s">
        <v>149</v>
      </c>
      <c r="E914" s="12" t="s">
        <v>324</v>
      </c>
      <c r="F914" s="12" t="s">
        <v>45</v>
      </c>
      <c r="G914" s="12" t="s">
        <v>38</v>
      </c>
      <c r="H914" s="12" t="s">
        <v>39</v>
      </c>
      <c r="I914" s="12" t="n">
        <v>2</v>
      </c>
      <c r="J914" s="12" t="s">
        <v>40</v>
      </c>
      <c r="K914" s="12" t="s">
        <v>48</v>
      </c>
      <c r="L914" s="12" t="str">
        <f aca="false">IF(OR(H914="Severe",H914="Life-Threatening"),"Yes","No")</f>
        <v>No</v>
      </c>
      <c r="M914" s="12" t="str">
        <f aca="false">IF(B914&lt;18,"0-17",IF(B914&lt;40,"18-39",IF(B914&lt;60,"40-59","60+")))</f>
        <v>60+</v>
      </c>
      <c r="N914" s="12" t="str">
        <f aca="false">IF(I914&lt;=1,"0-1 days",IF(I914&lt;=7,"2-7 days",IF(I914&lt;=30,"8-30 days","&gt;30 days")))</f>
        <v>2-7 days</v>
      </c>
    </row>
    <row r="915" customFormat="false" ht="15" hidden="false" customHeight="false" outlineLevel="0" collapsed="false">
      <c r="A915" s="12" t="s">
        <v>1156</v>
      </c>
      <c r="B915" s="12" t="n">
        <v>30</v>
      </c>
      <c r="C915" s="12" t="s">
        <v>43</v>
      </c>
      <c r="D915" s="12" t="s">
        <v>55</v>
      </c>
      <c r="E915" s="12" t="s">
        <v>191</v>
      </c>
      <c r="F915" s="12" t="s">
        <v>45</v>
      </c>
      <c r="G915" s="12" t="s">
        <v>38</v>
      </c>
      <c r="H915" s="12" t="s">
        <v>46</v>
      </c>
      <c r="I915" s="12" t="n">
        <v>10</v>
      </c>
      <c r="J915" s="12" t="s">
        <v>47</v>
      </c>
      <c r="K915" s="12" t="s">
        <v>48</v>
      </c>
      <c r="L915" s="12" t="str">
        <f aca="false">IF(OR(H915="Severe",H915="Life-Threatening"),"Yes","No")</f>
        <v>No</v>
      </c>
      <c r="M915" s="12" t="str">
        <f aca="false">IF(B915&lt;18,"0-17",IF(B915&lt;40,"18-39",IF(B915&lt;60,"40-59","60+")))</f>
        <v>18-39</v>
      </c>
      <c r="N915" s="12" t="str">
        <f aca="false">IF(I915&lt;=1,"0-1 days",IF(I915&lt;=7,"2-7 days",IF(I915&lt;=30,"8-30 days","&gt;30 days")))</f>
        <v>8-30 days</v>
      </c>
    </row>
    <row r="916" customFormat="false" ht="15" hidden="false" customHeight="false" outlineLevel="0" collapsed="false">
      <c r="A916" s="12" t="s">
        <v>1157</v>
      </c>
      <c r="B916" s="12" t="n">
        <v>50</v>
      </c>
      <c r="C916" s="12" t="s">
        <v>43</v>
      </c>
      <c r="D916" s="12" t="s">
        <v>55</v>
      </c>
      <c r="E916" s="12" t="s">
        <v>175</v>
      </c>
      <c r="F916" s="12" t="s">
        <v>176</v>
      </c>
      <c r="G916" s="12" t="s">
        <v>177</v>
      </c>
      <c r="H916" s="12" t="s">
        <v>39</v>
      </c>
      <c r="I916" s="12" t="n">
        <v>7</v>
      </c>
      <c r="J916" s="12" t="s">
        <v>47</v>
      </c>
      <c r="K916" s="12" t="s">
        <v>41</v>
      </c>
      <c r="L916" s="12" t="str">
        <f aca="false">IF(OR(H916="Severe",H916="Life-Threatening"),"Yes","No")</f>
        <v>No</v>
      </c>
      <c r="M916" s="12" t="str">
        <f aca="false">IF(B916&lt;18,"0-17",IF(B916&lt;40,"18-39",IF(B916&lt;60,"40-59","60+")))</f>
        <v>40-59</v>
      </c>
      <c r="N916" s="12" t="str">
        <f aca="false">IF(I916&lt;=1,"0-1 days",IF(I916&lt;=7,"2-7 days",IF(I916&lt;=30,"8-30 days","&gt;30 days")))</f>
        <v>2-7 days</v>
      </c>
    </row>
    <row r="917" customFormat="false" ht="15" hidden="false" customHeight="false" outlineLevel="0" collapsed="false">
      <c r="A917" s="12" t="s">
        <v>1158</v>
      </c>
      <c r="B917" s="12" t="n">
        <v>53</v>
      </c>
      <c r="C917" s="12" t="s">
        <v>43</v>
      </c>
      <c r="D917" s="12" t="s">
        <v>117</v>
      </c>
      <c r="E917" s="12" t="s">
        <v>65</v>
      </c>
      <c r="F917" s="12" t="s">
        <v>237</v>
      </c>
      <c r="G917" s="12" t="s">
        <v>80</v>
      </c>
      <c r="H917" s="12" t="s">
        <v>76</v>
      </c>
      <c r="I917" s="12" t="n">
        <v>34</v>
      </c>
      <c r="J917" s="12" t="s">
        <v>105</v>
      </c>
      <c r="K917" s="12" t="s">
        <v>48</v>
      </c>
      <c r="L917" s="12" t="str">
        <f aca="false">IF(OR(H917="Severe",H917="Life-Threatening"),"Yes","No")</f>
        <v>Yes</v>
      </c>
      <c r="M917" s="12" t="str">
        <f aca="false">IF(B917&lt;18,"0-17",IF(B917&lt;40,"18-39",IF(B917&lt;60,"40-59","60+")))</f>
        <v>40-59</v>
      </c>
      <c r="N917" s="12" t="str">
        <f aca="false">IF(I917&lt;=1,"0-1 days",IF(I917&lt;=7,"2-7 days",IF(I917&lt;=30,"8-30 days","&gt;30 days")))</f>
        <v>&gt;30 days</v>
      </c>
    </row>
    <row r="918" customFormat="false" ht="15" hidden="false" customHeight="false" outlineLevel="0" collapsed="false">
      <c r="A918" s="12" t="s">
        <v>1159</v>
      </c>
      <c r="B918" s="12" t="n">
        <v>94</v>
      </c>
      <c r="C918" s="12" t="s">
        <v>43</v>
      </c>
      <c r="D918" s="12" t="s">
        <v>155</v>
      </c>
      <c r="E918" s="12" t="s">
        <v>256</v>
      </c>
      <c r="F918" s="12" t="s">
        <v>264</v>
      </c>
      <c r="G918" s="12" t="s">
        <v>104</v>
      </c>
      <c r="H918" s="12" t="s">
        <v>76</v>
      </c>
      <c r="I918" s="12" t="n">
        <v>31</v>
      </c>
      <c r="J918" s="12" t="s">
        <v>67</v>
      </c>
      <c r="K918" s="12" t="s">
        <v>63</v>
      </c>
      <c r="L918" s="12" t="str">
        <f aca="false">IF(OR(H918="Severe",H918="Life-Threatening"),"Yes","No")</f>
        <v>Yes</v>
      </c>
      <c r="M918" s="12" t="str">
        <f aca="false">IF(B918&lt;18,"0-17",IF(B918&lt;40,"18-39",IF(B918&lt;60,"40-59","60+")))</f>
        <v>60+</v>
      </c>
      <c r="N918" s="12" t="str">
        <f aca="false">IF(I918&lt;=1,"0-1 days",IF(I918&lt;=7,"2-7 days",IF(I918&lt;=30,"8-30 days","&gt;30 days")))</f>
        <v>&gt;30 days</v>
      </c>
    </row>
    <row r="919" customFormat="false" ht="15" hidden="false" customHeight="false" outlineLevel="0" collapsed="false">
      <c r="A919" s="12" t="s">
        <v>1160</v>
      </c>
      <c r="B919" s="12" t="n">
        <v>48</v>
      </c>
      <c r="C919" s="12" t="s">
        <v>43</v>
      </c>
      <c r="D919" s="12" t="s">
        <v>668</v>
      </c>
      <c r="E919" s="12" t="s">
        <v>225</v>
      </c>
      <c r="F919" s="12" t="s">
        <v>139</v>
      </c>
      <c r="G919" s="12" t="s">
        <v>38</v>
      </c>
      <c r="H919" s="12" t="s">
        <v>39</v>
      </c>
      <c r="I919" s="12" t="n">
        <v>19</v>
      </c>
      <c r="J919" s="12" t="s">
        <v>47</v>
      </c>
      <c r="K919" s="12" t="s">
        <v>48</v>
      </c>
      <c r="L919" s="12" t="str">
        <f aca="false">IF(OR(H919="Severe",H919="Life-Threatening"),"Yes","No")</f>
        <v>No</v>
      </c>
      <c r="M919" s="12" t="str">
        <f aca="false">IF(B919&lt;18,"0-17",IF(B919&lt;40,"18-39",IF(B919&lt;60,"40-59","60+")))</f>
        <v>40-59</v>
      </c>
      <c r="N919" s="12" t="str">
        <f aca="false">IF(I919&lt;=1,"0-1 days",IF(I919&lt;=7,"2-7 days",IF(I919&lt;=30,"8-30 days","&gt;30 days")))</f>
        <v>8-30 days</v>
      </c>
    </row>
    <row r="920" customFormat="false" ht="15" hidden="false" customHeight="false" outlineLevel="0" collapsed="false">
      <c r="A920" s="12" t="s">
        <v>1161</v>
      </c>
      <c r="B920" s="12" t="n">
        <v>74</v>
      </c>
      <c r="C920" s="12" t="s">
        <v>43</v>
      </c>
      <c r="D920" s="12" t="s">
        <v>55</v>
      </c>
      <c r="E920" s="12" t="s">
        <v>36</v>
      </c>
      <c r="F920" s="12" t="s">
        <v>37</v>
      </c>
      <c r="G920" s="12" t="s">
        <v>38</v>
      </c>
      <c r="H920" s="12" t="s">
        <v>39</v>
      </c>
      <c r="I920" s="12" t="n">
        <v>30</v>
      </c>
      <c r="J920" s="12" t="s">
        <v>40</v>
      </c>
      <c r="K920" s="12" t="s">
        <v>63</v>
      </c>
      <c r="L920" s="12" t="str">
        <f aca="false">IF(OR(H920="Severe",H920="Life-Threatening"),"Yes","No")</f>
        <v>No</v>
      </c>
      <c r="M920" s="12" t="str">
        <f aca="false">IF(B920&lt;18,"0-17",IF(B920&lt;40,"18-39",IF(B920&lt;60,"40-59","60+")))</f>
        <v>60+</v>
      </c>
      <c r="N920" s="12" t="str">
        <f aca="false">IF(I920&lt;=1,"0-1 days",IF(I920&lt;=7,"2-7 days",IF(I920&lt;=30,"8-30 days","&gt;30 days")))</f>
        <v>8-30 days</v>
      </c>
    </row>
    <row r="921" customFormat="false" ht="15" hidden="false" customHeight="false" outlineLevel="0" collapsed="false">
      <c r="A921" s="12" t="s">
        <v>1162</v>
      </c>
      <c r="B921" s="12" t="n">
        <v>49</v>
      </c>
      <c r="C921" s="12" t="s">
        <v>43</v>
      </c>
      <c r="D921" s="12" t="s">
        <v>155</v>
      </c>
      <c r="E921" s="12" t="s">
        <v>36</v>
      </c>
      <c r="F921" s="12" t="s">
        <v>37</v>
      </c>
      <c r="G921" s="12" t="s">
        <v>38</v>
      </c>
      <c r="H921" s="12" t="s">
        <v>46</v>
      </c>
      <c r="I921" s="12" t="n">
        <v>5</v>
      </c>
      <c r="J921" s="12" t="s">
        <v>40</v>
      </c>
      <c r="K921" s="12" t="s">
        <v>147</v>
      </c>
      <c r="L921" s="12" t="str">
        <f aca="false">IF(OR(H921="Severe",H921="Life-Threatening"),"Yes","No")</f>
        <v>No</v>
      </c>
      <c r="M921" s="12" t="str">
        <f aca="false">IF(B921&lt;18,"0-17",IF(B921&lt;40,"18-39",IF(B921&lt;60,"40-59","60+")))</f>
        <v>40-59</v>
      </c>
      <c r="N921" s="12" t="str">
        <f aca="false">IF(I921&lt;=1,"0-1 days",IF(I921&lt;=7,"2-7 days",IF(I921&lt;=30,"8-30 days","&gt;30 days")))</f>
        <v>2-7 days</v>
      </c>
    </row>
    <row r="922" customFormat="false" ht="15" hidden="false" customHeight="false" outlineLevel="0" collapsed="false">
      <c r="A922" s="12" t="s">
        <v>1163</v>
      </c>
      <c r="B922" s="12" t="n">
        <v>12</v>
      </c>
      <c r="C922" s="12" t="s">
        <v>34</v>
      </c>
      <c r="D922" s="12" t="s">
        <v>168</v>
      </c>
      <c r="E922" s="12" t="s">
        <v>173</v>
      </c>
      <c r="F922" s="12" t="s">
        <v>214</v>
      </c>
      <c r="G922" s="12" t="s">
        <v>115</v>
      </c>
      <c r="H922" s="12" t="s">
        <v>39</v>
      </c>
      <c r="I922" s="12" t="n">
        <v>24</v>
      </c>
      <c r="J922" s="12" t="s">
        <v>47</v>
      </c>
      <c r="K922" s="12" t="s">
        <v>63</v>
      </c>
      <c r="L922" s="12" t="str">
        <f aca="false">IF(OR(H922="Severe",H922="Life-Threatening"),"Yes","No")</f>
        <v>No</v>
      </c>
      <c r="M922" s="12" t="str">
        <f aca="false">IF(B922&lt;18,"0-17",IF(B922&lt;40,"18-39",IF(B922&lt;60,"40-59","60+")))</f>
        <v>0-17</v>
      </c>
      <c r="N922" s="12" t="str">
        <f aca="false">IF(I922&lt;=1,"0-1 days",IF(I922&lt;=7,"2-7 days",IF(I922&lt;=30,"8-30 days","&gt;30 days")))</f>
        <v>8-30 days</v>
      </c>
    </row>
    <row r="923" customFormat="false" ht="15" hidden="false" customHeight="false" outlineLevel="0" collapsed="false">
      <c r="A923" s="12" t="s">
        <v>1164</v>
      </c>
      <c r="B923" s="12" t="n">
        <v>89</v>
      </c>
      <c r="C923" s="12" t="s">
        <v>43</v>
      </c>
      <c r="D923" s="12" t="s">
        <v>581</v>
      </c>
      <c r="E923" s="12" t="s">
        <v>74</v>
      </c>
      <c r="F923" s="12" t="s">
        <v>214</v>
      </c>
      <c r="G923" s="12" t="s">
        <v>115</v>
      </c>
      <c r="H923" s="12" t="s">
        <v>46</v>
      </c>
      <c r="I923" s="12" t="n">
        <v>3</v>
      </c>
      <c r="J923" s="12" t="s">
        <v>40</v>
      </c>
      <c r="K923" s="12" t="s">
        <v>147</v>
      </c>
      <c r="L923" s="12" t="str">
        <f aca="false">IF(OR(H923="Severe",H923="Life-Threatening"),"Yes","No")</f>
        <v>No</v>
      </c>
      <c r="M923" s="12" t="str">
        <f aca="false">IF(B923&lt;18,"0-17",IF(B923&lt;40,"18-39",IF(B923&lt;60,"40-59","60+")))</f>
        <v>60+</v>
      </c>
      <c r="N923" s="12" t="str">
        <f aca="false">IF(I923&lt;=1,"0-1 days",IF(I923&lt;=7,"2-7 days",IF(I923&lt;=30,"8-30 days","&gt;30 days")))</f>
        <v>2-7 days</v>
      </c>
    </row>
    <row r="924" customFormat="false" ht="15" hidden="false" customHeight="false" outlineLevel="0" collapsed="false">
      <c r="A924" s="12" t="s">
        <v>1165</v>
      </c>
      <c r="B924" s="12" t="n">
        <v>74</v>
      </c>
      <c r="C924" s="12" t="s">
        <v>34</v>
      </c>
      <c r="D924" s="12" t="s">
        <v>211</v>
      </c>
      <c r="E924" s="12" t="s">
        <v>243</v>
      </c>
      <c r="F924" s="12" t="s">
        <v>45</v>
      </c>
      <c r="G924" s="12" t="s">
        <v>38</v>
      </c>
      <c r="H924" s="12" t="s">
        <v>46</v>
      </c>
      <c r="I924" s="12" t="n">
        <v>4</v>
      </c>
      <c r="J924" s="12" t="s">
        <v>40</v>
      </c>
      <c r="K924" s="12" t="s">
        <v>63</v>
      </c>
      <c r="L924" s="12" t="str">
        <f aca="false">IF(OR(H924="Severe",H924="Life-Threatening"),"Yes","No")</f>
        <v>No</v>
      </c>
      <c r="M924" s="12" t="str">
        <f aca="false">IF(B924&lt;18,"0-17",IF(B924&lt;40,"18-39",IF(B924&lt;60,"40-59","60+")))</f>
        <v>60+</v>
      </c>
      <c r="N924" s="12" t="str">
        <f aca="false">IF(I924&lt;=1,"0-1 days",IF(I924&lt;=7,"2-7 days",IF(I924&lt;=30,"8-30 days","&gt;30 days")))</f>
        <v>2-7 days</v>
      </c>
    </row>
    <row r="925" customFormat="false" ht="15" hidden="false" customHeight="false" outlineLevel="0" collapsed="false">
      <c r="A925" s="12" t="s">
        <v>1166</v>
      </c>
      <c r="B925" s="12" t="n">
        <v>66</v>
      </c>
      <c r="C925" s="12" t="s">
        <v>34</v>
      </c>
      <c r="D925" s="12" t="s">
        <v>327</v>
      </c>
      <c r="E925" s="12" t="s">
        <v>188</v>
      </c>
      <c r="F925" s="12" t="s">
        <v>403</v>
      </c>
      <c r="G925" s="12" t="s">
        <v>80</v>
      </c>
      <c r="H925" s="12" t="s">
        <v>46</v>
      </c>
      <c r="I925" s="12" t="n">
        <v>13</v>
      </c>
      <c r="J925" s="12" t="s">
        <v>47</v>
      </c>
      <c r="K925" s="12" t="s">
        <v>63</v>
      </c>
      <c r="L925" s="12" t="str">
        <f aca="false">IF(OR(H925="Severe",H925="Life-Threatening"),"Yes","No")</f>
        <v>No</v>
      </c>
      <c r="M925" s="12" t="str">
        <f aca="false">IF(B925&lt;18,"0-17",IF(B925&lt;40,"18-39",IF(B925&lt;60,"40-59","60+")))</f>
        <v>60+</v>
      </c>
      <c r="N925" s="12" t="str">
        <f aca="false">IF(I925&lt;=1,"0-1 days",IF(I925&lt;=7,"2-7 days",IF(I925&lt;=30,"8-30 days","&gt;30 days")))</f>
        <v>8-30 days</v>
      </c>
    </row>
    <row r="926" customFormat="false" ht="15" hidden="false" customHeight="false" outlineLevel="0" collapsed="false">
      <c r="A926" s="12" t="s">
        <v>1167</v>
      </c>
      <c r="B926" s="12" t="n">
        <v>57</v>
      </c>
      <c r="C926" s="12" t="s">
        <v>43</v>
      </c>
      <c r="D926" s="12" t="s">
        <v>88</v>
      </c>
      <c r="E926" s="12" t="s">
        <v>134</v>
      </c>
      <c r="F926" s="12" t="s">
        <v>135</v>
      </c>
      <c r="G926" s="12" t="s">
        <v>136</v>
      </c>
      <c r="H926" s="12" t="s">
        <v>76</v>
      </c>
      <c r="I926" s="12" t="n">
        <v>27</v>
      </c>
      <c r="J926" s="12" t="s">
        <v>67</v>
      </c>
      <c r="K926" s="12" t="s">
        <v>48</v>
      </c>
      <c r="L926" s="12" t="str">
        <f aca="false">IF(OR(H926="Severe",H926="Life-Threatening"),"Yes","No")</f>
        <v>Yes</v>
      </c>
      <c r="M926" s="12" t="str">
        <f aca="false">IF(B926&lt;18,"0-17",IF(B926&lt;40,"18-39",IF(B926&lt;60,"40-59","60+")))</f>
        <v>40-59</v>
      </c>
      <c r="N926" s="12" t="str">
        <f aca="false">IF(I926&lt;=1,"0-1 days",IF(I926&lt;=7,"2-7 days",IF(I926&lt;=30,"8-30 days","&gt;30 days")))</f>
        <v>8-30 days</v>
      </c>
    </row>
    <row r="927" customFormat="false" ht="15" hidden="false" customHeight="false" outlineLevel="0" collapsed="false">
      <c r="A927" s="12" t="s">
        <v>1168</v>
      </c>
      <c r="B927" s="12" t="n">
        <v>50</v>
      </c>
      <c r="C927" s="12" t="s">
        <v>43</v>
      </c>
      <c r="D927" s="12" t="s">
        <v>55</v>
      </c>
      <c r="E927" s="12" t="s">
        <v>130</v>
      </c>
      <c r="F927" s="12" t="s">
        <v>131</v>
      </c>
      <c r="G927" s="12" t="s">
        <v>94</v>
      </c>
      <c r="H927" s="12" t="s">
        <v>39</v>
      </c>
      <c r="I927" s="12" t="n">
        <v>2</v>
      </c>
      <c r="J927" s="12" t="s">
        <v>169</v>
      </c>
      <c r="K927" s="12" t="s">
        <v>63</v>
      </c>
      <c r="L927" s="12" t="str">
        <f aca="false">IF(OR(H927="Severe",H927="Life-Threatening"),"Yes","No")</f>
        <v>No</v>
      </c>
      <c r="M927" s="12" t="str">
        <f aca="false">IF(B927&lt;18,"0-17",IF(B927&lt;40,"18-39",IF(B927&lt;60,"40-59","60+")))</f>
        <v>40-59</v>
      </c>
      <c r="N927" s="12" t="str">
        <f aca="false">IF(I927&lt;=1,"0-1 days",IF(I927&lt;=7,"2-7 days",IF(I927&lt;=30,"8-30 days","&gt;30 days")))</f>
        <v>2-7 days</v>
      </c>
    </row>
    <row r="928" customFormat="false" ht="15" hidden="false" customHeight="false" outlineLevel="0" collapsed="false">
      <c r="A928" s="12" t="s">
        <v>1169</v>
      </c>
      <c r="B928" s="12" t="n">
        <v>48</v>
      </c>
      <c r="C928" s="12" t="s">
        <v>43</v>
      </c>
      <c r="D928" s="12" t="s">
        <v>327</v>
      </c>
      <c r="E928" s="12" t="s">
        <v>70</v>
      </c>
      <c r="F928" s="12" t="s">
        <v>71</v>
      </c>
      <c r="G928" s="12" t="s">
        <v>72</v>
      </c>
      <c r="H928" s="12" t="s">
        <v>59</v>
      </c>
      <c r="I928" s="12" t="n">
        <v>0</v>
      </c>
      <c r="J928" s="12" t="s">
        <v>40</v>
      </c>
      <c r="K928" s="12" t="s">
        <v>48</v>
      </c>
      <c r="L928" s="12" t="str">
        <f aca="false">IF(OR(H928="Severe",H928="Life-Threatening"),"Yes","No")</f>
        <v>Yes</v>
      </c>
      <c r="M928" s="12" t="str">
        <f aca="false">IF(B928&lt;18,"0-17",IF(B928&lt;40,"18-39",IF(B928&lt;60,"40-59","60+")))</f>
        <v>40-59</v>
      </c>
      <c r="N928" s="12" t="str">
        <f aca="false">IF(I928&lt;=1,"0-1 days",IF(I928&lt;=7,"2-7 days",IF(I928&lt;=30,"8-30 days","&gt;30 days")))</f>
        <v>0-1 days</v>
      </c>
    </row>
    <row r="929" customFormat="false" ht="15" hidden="false" customHeight="false" outlineLevel="0" collapsed="false">
      <c r="A929" s="12" t="s">
        <v>1170</v>
      </c>
      <c r="B929" s="12" t="n">
        <v>69</v>
      </c>
      <c r="C929" s="12" t="s">
        <v>43</v>
      </c>
      <c r="D929" s="12" t="s">
        <v>99</v>
      </c>
      <c r="E929" s="12" t="s">
        <v>36</v>
      </c>
      <c r="F929" s="12" t="s">
        <v>364</v>
      </c>
      <c r="G929" s="12" t="s">
        <v>38</v>
      </c>
      <c r="H929" s="12" t="s">
        <v>76</v>
      </c>
      <c r="I929" s="12" t="n">
        <v>19</v>
      </c>
      <c r="J929" s="12" t="s">
        <v>40</v>
      </c>
      <c r="K929" s="12" t="s">
        <v>63</v>
      </c>
      <c r="L929" s="12" t="str">
        <f aca="false">IF(OR(H929="Severe",H929="Life-Threatening"),"Yes","No")</f>
        <v>Yes</v>
      </c>
      <c r="M929" s="12" t="str">
        <f aca="false">IF(B929&lt;18,"0-17",IF(B929&lt;40,"18-39",IF(B929&lt;60,"40-59","60+")))</f>
        <v>60+</v>
      </c>
      <c r="N929" s="12" t="str">
        <f aca="false">IF(I929&lt;=1,"0-1 days",IF(I929&lt;=7,"2-7 days",IF(I929&lt;=30,"8-30 days","&gt;30 days")))</f>
        <v>8-30 days</v>
      </c>
    </row>
    <row r="930" customFormat="false" ht="15" hidden="false" customHeight="false" outlineLevel="0" collapsed="false">
      <c r="A930" s="12" t="s">
        <v>1171</v>
      </c>
      <c r="B930" s="12" t="n">
        <v>32</v>
      </c>
      <c r="C930" s="12" t="s">
        <v>43</v>
      </c>
      <c r="D930" s="12" t="s">
        <v>55</v>
      </c>
      <c r="E930" s="12" t="s">
        <v>200</v>
      </c>
      <c r="F930" s="12" t="s">
        <v>79</v>
      </c>
      <c r="G930" s="12" t="s">
        <v>80</v>
      </c>
      <c r="H930" s="12" t="s">
        <v>59</v>
      </c>
      <c r="I930" s="12" t="n">
        <v>19</v>
      </c>
      <c r="J930" s="12" t="s">
        <v>105</v>
      </c>
      <c r="K930" s="12" t="s">
        <v>63</v>
      </c>
      <c r="L930" s="12" t="str">
        <f aca="false">IF(OR(H930="Severe",H930="Life-Threatening"),"Yes","No")</f>
        <v>Yes</v>
      </c>
      <c r="M930" s="12" t="str">
        <f aca="false">IF(B930&lt;18,"0-17",IF(B930&lt;40,"18-39",IF(B930&lt;60,"40-59","60+")))</f>
        <v>18-39</v>
      </c>
      <c r="N930" s="12" t="str">
        <f aca="false">IF(I930&lt;=1,"0-1 days",IF(I930&lt;=7,"2-7 days",IF(I930&lt;=30,"8-30 days","&gt;30 days")))</f>
        <v>8-30 days</v>
      </c>
    </row>
    <row r="931" customFormat="false" ht="15" hidden="false" customHeight="false" outlineLevel="0" collapsed="false">
      <c r="A931" s="12" t="s">
        <v>1172</v>
      </c>
      <c r="B931" s="12" t="n">
        <v>64</v>
      </c>
      <c r="C931" s="12" t="s">
        <v>34</v>
      </c>
      <c r="D931" s="12" t="s">
        <v>69</v>
      </c>
      <c r="E931" s="12" t="s">
        <v>386</v>
      </c>
      <c r="F931" s="12" t="s">
        <v>531</v>
      </c>
      <c r="G931" s="12" t="s">
        <v>94</v>
      </c>
      <c r="H931" s="12" t="s">
        <v>39</v>
      </c>
      <c r="I931" s="12" t="n">
        <v>7</v>
      </c>
      <c r="J931" s="12" t="s">
        <v>47</v>
      </c>
      <c r="K931" s="12" t="s">
        <v>63</v>
      </c>
      <c r="L931" s="12" t="str">
        <f aca="false">IF(OR(H931="Severe",H931="Life-Threatening"),"Yes","No")</f>
        <v>No</v>
      </c>
      <c r="M931" s="12" t="str">
        <f aca="false">IF(B931&lt;18,"0-17",IF(B931&lt;40,"18-39",IF(B931&lt;60,"40-59","60+")))</f>
        <v>60+</v>
      </c>
      <c r="N931" s="12" t="str">
        <f aca="false">IF(I931&lt;=1,"0-1 days",IF(I931&lt;=7,"2-7 days",IF(I931&lt;=30,"8-30 days","&gt;30 days")))</f>
        <v>2-7 days</v>
      </c>
    </row>
    <row r="932" customFormat="false" ht="15" hidden="false" customHeight="false" outlineLevel="0" collapsed="false">
      <c r="A932" s="12" t="s">
        <v>1173</v>
      </c>
      <c r="B932" s="12" t="n">
        <v>52</v>
      </c>
      <c r="C932" s="12" t="s">
        <v>34</v>
      </c>
      <c r="D932" s="12" t="s">
        <v>69</v>
      </c>
      <c r="E932" s="12" t="s">
        <v>61</v>
      </c>
      <c r="F932" s="12" t="s">
        <v>45</v>
      </c>
      <c r="G932" s="12" t="s">
        <v>38</v>
      </c>
      <c r="H932" s="12" t="s">
        <v>46</v>
      </c>
      <c r="I932" s="12" t="n">
        <v>15</v>
      </c>
      <c r="J932" s="12" t="s">
        <v>40</v>
      </c>
      <c r="K932" s="12" t="s">
        <v>48</v>
      </c>
      <c r="L932" s="12" t="str">
        <f aca="false">IF(OR(H932="Severe",H932="Life-Threatening"),"Yes","No")</f>
        <v>No</v>
      </c>
      <c r="M932" s="12" t="str">
        <f aca="false">IF(B932&lt;18,"0-17",IF(B932&lt;40,"18-39",IF(B932&lt;60,"40-59","60+")))</f>
        <v>40-59</v>
      </c>
      <c r="N932" s="12" t="str">
        <f aca="false">IF(I932&lt;=1,"0-1 days",IF(I932&lt;=7,"2-7 days",IF(I932&lt;=30,"8-30 days","&gt;30 days")))</f>
        <v>8-30 days</v>
      </c>
    </row>
    <row r="933" customFormat="false" ht="15" hidden="false" customHeight="false" outlineLevel="0" collapsed="false">
      <c r="A933" s="12" t="s">
        <v>1174</v>
      </c>
      <c r="B933" s="12" t="n">
        <v>39</v>
      </c>
      <c r="C933" s="12" t="s">
        <v>43</v>
      </c>
      <c r="D933" s="12" t="s">
        <v>126</v>
      </c>
      <c r="E933" s="12" t="s">
        <v>110</v>
      </c>
      <c r="F933" s="12" t="s">
        <v>322</v>
      </c>
      <c r="G933" s="12" t="s">
        <v>53</v>
      </c>
      <c r="H933" s="12" t="s">
        <v>39</v>
      </c>
      <c r="I933" s="12" t="n">
        <v>1</v>
      </c>
      <c r="J933" s="12" t="s">
        <v>40</v>
      </c>
      <c r="K933" s="12" t="s">
        <v>63</v>
      </c>
      <c r="L933" s="12" t="str">
        <f aca="false">IF(OR(H933="Severe",H933="Life-Threatening"),"Yes","No")</f>
        <v>No</v>
      </c>
      <c r="M933" s="12" t="str">
        <f aca="false">IF(B933&lt;18,"0-17",IF(B933&lt;40,"18-39",IF(B933&lt;60,"40-59","60+")))</f>
        <v>18-39</v>
      </c>
      <c r="N933" s="12" t="str">
        <f aca="false">IF(I933&lt;=1,"0-1 days",IF(I933&lt;=7,"2-7 days",IF(I933&lt;=30,"8-30 days","&gt;30 days")))</f>
        <v>0-1 days</v>
      </c>
    </row>
    <row r="934" customFormat="false" ht="15" hidden="false" customHeight="false" outlineLevel="0" collapsed="false">
      <c r="A934" s="12" t="s">
        <v>1175</v>
      </c>
      <c r="B934" s="12" t="n">
        <v>33</v>
      </c>
      <c r="C934" s="12" t="s">
        <v>43</v>
      </c>
      <c r="D934" s="12" t="s">
        <v>120</v>
      </c>
      <c r="E934" s="12" t="s">
        <v>124</v>
      </c>
      <c r="F934" s="12" t="s">
        <v>62</v>
      </c>
      <c r="G934" s="12" t="s">
        <v>53</v>
      </c>
      <c r="H934" s="12" t="s">
        <v>46</v>
      </c>
      <c r="I934" s="12" t="n">
        <v>7</v>
      </c>
      <c r="J934" s="12" t="s">
        <v>47</v>
      </c>
      <c r="K934" s="12" t="s">
        <v>48</v>
      </c>
      <c r="L934" s="12" t="str">
        <f aca="false">IF(OR(H934="Severe",H934="Life-Threatening"),"Yes","No")</f>
        <v>No</v>
      </c>
      <c r="M934" s="12" t="str">
        <f aca="false">IF(B934&lt;18,"0-17",IF(B934&lt;40,"18-39",IF(B934&lt;60,"40-59","60+")))</f>
        <v>18-39</v>
      </c>
      <c r="N934" s="12" t="str">
        <f aca="false">IF(I934&lt;=1,"0-1 days",IF(I934&lt;=7,"2-7 days",IF(I934&lt;=30,"8-30 days","&gt;30 days")))</f>
        <v>2-7 days</v>
      </c>
    </row>
    <row r="935" customFormat="false" ht="15" hidden="false" customHeight="false" outlineLevel="0" collapsed="false">
      <c r="A935" s="12" t="s">
        <v>1176</v>
      </c>
      <c r="B935" s="12" t="n">
        <v>65</v>
      </c>
      <c r="C935" s="12" t="s">
        <v>43</v>
      </c>
      <c r="D935" s="12" t="s">
        <v>196</v>
      </c>
      <c r="E935" s="12" t="s">
        <v>179</v>
      </c>
      <c r="F935" s="12" t="s">
        <v>325</v>
      </c>
      <c r="G935" s="12" t="s">
        <v>177</v>
      </c>
      <c r="H935" s="12" t="s">
        <v>59</v>
      </c>
      <c r="I935" s="12" t="n">
        <v>25</v>
      </c>
      <c r="J935" s="12" t="s">
        <v>47</v>
      </c>
      <c r="K935" s="12" t="s">
        <v>48</v>
      </c>
      <c r="L935" s="12" t="str">
        <f aca="false">IF(OR(H935="Severe",H935="Life-Threatening"),"Yes","No")</f>
        <v>Yes</v>
      </c>
      <c r="M935" s="12" t="str">
        <f aca="false">IF(B935&lt;18,"0-17",IF(B935&lt;40,"18-39",IF(B935&lt;60,"40-59","60+")))</f>
        <v>60+</v>
      </c>
      <c r="N935" s="12" t="str">
        <f aca="false">IF(I935&lt;=1,"0-1 days",IF(I935&lt;=7,"2-7 days",IF(I935&lt;=30,"8-30 days","&gt;30 days")))</f>
        <v>8-30 days</v>
      </c>
    </row>
    <row r="936" customFormat="false" ht="15" hidden="false" customHeight="false" outlineLevel="0" collapsed="false">
      <c r="A936" s="12" t="s">
        <v>1177</v>
      </c>
      <c r="B936" s="12" t="n">
        <v>39</v>
      </c>
      <c r="C936" s="12" t="s">
        <v>43</v>
      </c>
      <c r="D936" s="12" t="s">
        <v>55</v>
      </c>
      <c r="E936" s="12" t="s">
        <v>86</v>
      </c>
      <c r="F936" s="12" t="s">
        <v>45</v>
      </c>
      <c r="G936" s="12" t="s">
        <v>38</v>
      </c>
      <c r="H936" s="12" t="s">
        <v>46</v>
      </c>
      <c r="I936" s="12" t="n">
        <v>27</v>
      </c>
      <c r="J936" s="12" t="s">
        <v>40</v>
      </c>
      <c r="K936" s="12" t="s">
        <v>147</v>
      </c>
      <c r="L936" s="12" t="str">
        <f aca="false">IF(OR(H936="Severe",H936="Life-Threatening"),"Yes","No")</f>
        <v>No</v>
      </c>
      <c r="M936" s="12" t="str">
        <f aca="false">IF(B936&lt;18,"0-17",IF(B936&lt;40,"18-39",IF(B936&lt;60,"40-59","60+")))</f>
        <v>18-39</v>
      </c>
      <c r="N936" s="12" t="str">
        <f aca="false">IF(I936&lt;=1,"0-1 days",IF(I936&lt;=7,"2-7 days",IF(I936&lt;=30,"8-30 days","&gt;30 days")))</f>
        <v>8-30 days</v>
      </c>
    </row>
    <row r="937" customFormat="false" ht="15" hidden="false" customHeight="false" outlineLevel="0" collapsed="false">
      <c r="A937" s="12" t="s">
        <v>1178</v>
      </c>
      <c r="B937" s="12" t="n">
        <v>56</v>
      </c>
      <c r="C937" s="12" t="s">
        <v>43</v>
      </c>
      <c r="D937" s="12" t="s">
        <v>102</v>
      </c>
      <c r="E937" s="12" t="s">
        <v>301</v>
      </c>
      <c r="F937" s="12" t="s">
        <v>302</v>
      </c>
      <c r="G937" s="12" t="s">
        <v>53</v>
      </c>
      <c r="H937" s="12" t="s">
        <v>39</v>
      </c>
      <c r="I937" s="12" t="n">
        <v>26</v>
      </c>
      <c r="J937" s="12" t="s">
        <v>169</v>
      </c>
      <c r="K937" s="12" t="s">
        <v>63</v>
      </c>
      <c r="L937" s="12" t="str">
        <f aca="false">IF(OR(H937="Severe",H937="Life-Threatening"),"Yes","No")</f>
        <v>No</v>
      </c>
      <c r="M937" s="12" t="str">
        <f aca="false">IF(B937&lt;18,"0-17",IF(B937&lt;40,"18-39",IF(B937&lt;60,"40-59","60+")))</f>
        <v>40-59</v>
      </c>
      <c r="N937" s="12" t="str">
        <f aca="false">IF(I937&lt;=1,"0-1 days",IF(I937&lt;=7,"2-7 days",IF(I937&lt;=30,"8-30 days","&gt;30 days")))</f>
        <v>8-30 days</v>
      </c>
    </row>
    <row r="938" customFormat="false" ht="15" hidden="false" customHeight="false" outlineLevel="0" collapsed="false">
      <c r="A938" s="12" t="s">
        <v>1179</v>
      </c>
      <c r="B938" s="12" t="n">
        <v>21</v>
      </c>
      <c r="C938" s="12" t="s">
        <v>43</v>
      </c>
      <c r="D938" s="12" t="s">
        <v>35</v>
      </c>
      <c r="E938" s="12" t="s">
        <v>65</v>
      </c>
      <c r="F938" s="12" t="s">
        <v>237</v>
      </c>
      <c r="G938" s="12" t="s">
        <v>80</v>
      </c>
      <c r="H938" s="12" t="s">
        <v>76</v>
      </c>
      <c r="I938" s="12" t="n">
        <v>39</v>
      </c>
      <c r="J938" s="12" t="s">
        <v>40</v>
      </c>
      <c r="K938" s="12" t="s">
        <v>63</v>
      </c>
      <c r="L938" s="12" t="str">
        <f aca="false">IF(OR(H938="Severe",H938="Life-Threatening"),"Yes","No")</f>
        <v>Yes</v>
      </c>
      <c r="M938" s="12" t="str">
        <f aca="false">IF(B938&lt;18,"0-17",IF(B938&lt;40,"18-39",IF(B938&lt;60,"40-59","60+")))</f>
        <v>18-39</v>
      </c>
      <c r="N938" s="12" t="str">
        <f aca="false">IF(I938&lt;=1,"0-1 days",IF(I938&lt;=7,"2-7 days",IF(I938&lt;=30,"8-30 days","&gt;30 days")))</f>
        <v>&gt;30 days</v>
      </c>
    </row>
    <row r="939" customFormat="false" ht="15" hidden="false" customHeight="false" outlineLevel="0" collapsed="false">
      <c r="A939" s="12" t="s">
        <v>1180</v>
      </c>
      <c r="B939" s="12" t="n">
        <v>35</v>
      </c>
      <c r="C939" s="12" t="s">
        <v>43</v>
      </c>
      <c r="D939" s="12" t="s">
        <v>234</v>
      </c>
      <c r="E939" s="12" t="s">
        <v>130</v>
      </c>
      <c r="F939" s="12" t="s">
        <v>131</v>
      </c>
      <c r="G939" s="12" t="s">
        <v>94</v>
      </c>
      <c r="H939" s="12" t="s">
        <v>39</v>
      </c>
      <c r="I939" s="12" t="n">
        <v>9</v>
      </c>
      <c r="J939" s="12" t="s">
        <v>40</v>
      </c>
      <c r="K939" s="12" t="s">
        <v>147</v>
      </c>
      <c r="L939" s="12" t="str">
        <f aca="false">IF(OR(H939="Severe",H939="Life-Threatening"),"Yes","No")</f>
        <v>No</v>
      </c>
      <c r="M939" s="12" t="str">
        <f aca="false">IF(B939&lt;18,"0-17",IF(B939&lt;40,"18-39",IF(B939&lt;60,"40-59","60+")))</f>
        <v>18-39</v>
      </c>
      <c r="N939" s="12" t="str">
        <f aca="false">IF(I939&lt;=1,"0-1 days",IF(I939&lt;=7,"2-7 days",IF(I939&lt;=30,"8-30 days","&gt;30 days")))</f>
        <v>8-30 days</v>
      </c>
    </row>
    <row r="940" customFormat="false" ht="15" hidden="false" customHeight="false" outlineLevel="0" collapsed="false">
      <c r="A940" s="12" t="s">
        <v>1181</v>
      </c>
      <c r="B940" s="12" t="n">
        <v>53</v>
      </c>
      <c r="C940" s="12" t="s">
        <v>34</v>
      </c>
      <c r="D940" s="12" t="s">
        <v>102</v>
      </c>
      <c r="E940" s="12" t="s">
        <v>70</v>
      </c>
      <c r="F940" s="12" t="s">
        <v>108</v>
      </c>
      <c r="G940" s="12" t="s">
        <v>38</v>
      </c>
      <c r="H940" s="12" t="s">
        <v>76</v>
      </c>
      <c r="I940" s="12" t="n">
        <v>14</v>
      </c>
      <c r="J940" s="12" t="s">
        <v>47</v>
      </c>
      <c r="K940" s="12" t="s">
        <v>63</v>
      </c>
      <c r="L940" s="12" t="str">
        <f aca="false">IF(OR(H940="Severe",H940="Life-Threatening"),"Yes","No")</f>
        <v>Yes</v>
      </c>
      <c r="M940" s="12" t="str">
        <f aca="false">IF(B940&lt;18,"0-17",IF(B940&lt;40,"18-39",IF(B940&lt;60,"40-59","60+")))</f>
        <v>40-59</v>
      </c>
      <c r="N940" s="12" t="str">
        <f aca="false">IF(I940&lt;=1,"0-1 days",IF(I940&lt;=7,"2-7 days",IF(I940&lt;=30,"8-30 days","&gt;30 days")))</f>
        <v>8-30 days</v>
      </c>
    </row>
    <row r="941" customFormat="false" ht="15" hidden="false" customHeight="false" outlineLevel="0" collapsed="false">
      <c r="A941" s="12" t="s">
        <v>1182</v>
      </c>
      <c r="B941" s="12" t="n">
        <v>43</v>
      </c>
      <c r="C941" s="12" t="s">
        <v>34</v>
      </c>
      <c r="D941" s="12" t="s">
        <v>112</v>
      </c>
      <c r="E941" s="12" t="s">
        <v>36</v>
      </c>
      <c r="F941" s="12" t="s">
        <v>364</v>
      </c>
      <c r="G941" s="12" t="s">
        <v>38</v>
      </c>
      <c r="H941" s="12" t="s">
        <v>76</v>
      </c>
      <c r="I941" s="12" t="n">
        <v>27</v>
      </c>
      <c r="J941" s="12" t="s">
        <v>169</v>
      </c>
      <c r="K941" s="12" t="s">
        <v>63</v>
      </c>
      <c r="L941" s="12" t="str">
        <f aca="false">IF(OR(H941="Severe",H941="Life-Threatening"),"Yes","No")</f>
        <v>Yes</v>
      </c>
      <c r="M941" s="12" t="str">
        <f aca="false">IF(B941&lt;18,"0-17",IF(B941&lt;40,"18-39",IF(B941&lt;60,"40-59","60+")))</f>
        <v>40-59</v>
      </c>
      <c r="N941" s="12" t="str">
        <f aca="false">IF(I941&lt;=1,"0-1 days",IF(I941&lt;=7,"2-7 days",IF(I941&lt;=30,"8-30 days","&gt;30 days")))</f>
        <v>8-30 days</v>
      </c>
    </row>
    <row r="942" customFormat="false" ht="15" hidden="false" customHeight="false" outlineLevel="0" collapsed="false">
      <c r="A942" s="12" t="s">
        <v>1183</v>
      </c>
      <c r="B942" s="12" t="n">
        <v>60</v>
      </c>
      <c r="C942" s="12" t="s">
        <v>34</v>
      </c>
      <c r="D942" s="12" t="s">
        <v>112</v>
      </c>
      <c r="E942" s="12" t="s">
        <v>241</v>
      </c>
      <c r="F942" s="12" t="s">
        <v>254</v>
      </c>
      <c r="G942" s="12" t="s">
        <v>136</v>
      </c>
      <c r="H942" s="12" t="s">
        <v>76</v>
      </c>
      <c r="I942" s="12" t="n">
        <v>34</v>
      </c>
      <c r="J942" s="12" t="s">
        <v>169</v>
      </c>
      <c r="K942" s="12" t="s">
        <v>48</v>
      </c>
      <c r="L942" s="12" t="str">
        <f aca="false">IF(OR(H942="Severe",H942="Life-Threatening"),"Yes","No")</f>
        <v>Yes</v>
      </c>
      <c r="M942" s="12" t="str">
        <f aca="false">IF(B942&lt;18,"0-17",IF(B942&lt;40,"18-39",IF(B942&lt;60,"40-59","60+")))</f>
        <v>60+</v>
      </c>
      <c r="N942" s="12" t="str">
        <f aca="false">IF(I942&lt;=1,"0-1 days",IF(I942&lt;=7,"2-7 days",IF(I942&lt;=30,"8-30 days","&gt;30 days")))</f>
        <v>&gt;30 days</v>
      </c>
    </row>
    <row r="943" customFormat="false" ht="15" hidden="false" customHeight="false" outlineLevel="0" collapsed="false">
      <c r="A943" s="12" t="s">
        <v>1184</v>
      </c>
      <c r="B943" s="12" t="n">
        <v>18</v>
      </c>
      <c r="C943" s="12" t="s">
        <v>34</v>
      </c>
      <c r="D943" s="12" t="s">
        <v>102</v>
      </c>
      <c r="E943" s="12" t="s">
        <v>407</v>
      </c>
      <c r="F943" s="12" t="s">
        <v>62</v>
      </c>
      <c r="G943" s="12" t="s">
        <v>53</v>
      </c>
      <c r="H943" s="12" t="s">
        <v>39</v>
      </c>
      <c r="I943" s="12" t="n">
        <v>23</v>
      </c>
      <c r="J943" s="12" t="s">
        <v>40</v>
      </c>
      <c r="K943" s="12" t="s">
        <v>48</v>
      </c>
      <c r="L943" s="12" t="str">
        <f aca="false">IF(OR(H943="Severe",H943="Life-Threatening"),"Yes","No")</f>
        <v>No</v>
      </c>
      <c r="M943" s="12" t="str">
        <f aca="false">IF(B943&lt;18,"0-17",IF(B943&lt;40,"18-39",IF(B943&lt;60,"40-59","60+")))</f>
        <v>18-39</v>
      </c>
      <c r="N943" s="12" t="str">
        <f aca="false">IF(I943&lt;=1,"0-1 days",IF(I943&lt;=7,"2-7 days",IF(I943&lt;=30,"8-30 days","&gt;30 days")))</f>
        <v>8-30 days</v>
      </c>
    </row>
    <row r="944" customFormat="false" ht="15" hidden="false" customHeight="false" outlineLevel="0" collapsed="false">
      <c r="A944" s="12" t="s">
        <v>1185</v>
      </c>
      <c r="B944" s="12" t="n">
        <v>60</v>
      </c>
      <c r="C944" s="12" t="s">
        <v>34</v>
      </c>
      <c r="D944" s="12" t="s">
        <v>668</v>
      </c>
      <c r="E944" s="12" t="s">
        <v>198</v>
      </c>
      <c r="F944" s="12" t="s">
        <v>257</v>
      </c>
      <c r="G944" s="12" t="s">
        <v>80</v>
      </c>
      <c r="H944" s="12" t="s">
        <v>39</v>
      </c>
      <c r="I944" s="12" t="n">
        <v>16</v>
      </c>
      <c r="J944" s="12" t="s">
        <v>40</v>
      </c>
      <c r="K944" s="12" t="s">
        <v>48</v>
      </c>
      <c r="L944" s="12" t="str">
        <f aca="false">IF(OR(H944="Severe",H944="Life-Threatening"),"Yes","No")</f>
        <v>No</v>
      </c>
      <c r="M944" s="12" t="str">
        <f aca="false">IF(B944&lt;18,"0-17",IF(B944&lt;40,"18-39",IF(B944&lt;60,"40-59","60+")))</f>
        <v>60+</v>
      </c>
      <c r="N944" s="12" t="str">
        <f aca="false">IF(I944&lt;=1,"0-1 days",IF(I944&lt;=7,"2-7 days",IF(I944&lt;=30,"8-30 days","&gt;30 days")))</f>
        <v>8-30 days</v>
      </c>
    </row>
    <row r="945" customFormat="false" ht="15" hidden="false" customHeight="false" outlineLevel="0" collapsed="false">
      <c r="A945" s="12" t="s">
        <v>1186</v>
      </c>
      <c r="B945" s="12" t="n">
        <v>39</v>
      </c>
      <c r="C945" s="12" t="s">
        <v>34</v>
      </c>
      <c r="D945" s="12" t="s">
        <v>35</v>
      </c>
      <c r="E945" s="12" t="s">
        <v>173</v>
      </c>
      <c r="F945" s="12" t="s">
        <v>214</v>
      </c>
      <c r="G945" s="12" t="s">
        <v>115</v>
      </c>
      <c r="H945" s="12" t="s">
        <v>76</v>
      </c>
      <c r="I945" s="12" t="n">
        <v>27</v>
      </c>
      <c r="J945" s="12" t="s">
        <v>40</v>
      </c>
      <c r="K945" s="12" t="s">
        <v>147</v>
      </c>
      <c r="L945" s="12" t="str">
        <f aca="false">IF(OR(H945="Severe",H945="Life-Threatening"),"Yes","No")</f>
        <v>Yes</v>
      </c>
      <c r="M945" s="12" t="str">
        <f aca="false">IF(B945&lt;18,"0-17",IF(B945&lt;40,"18-39",IF(B945&lt;60,"40-59","60+")))</f>
        <v>18-39</v>
      </c>
      <c r="N945" s="12" t="str">
        <f aca="false">IF(I945&lt;=1,"0-1 days",IF(I945&lt;=7,"2-7 days",IF(I945&lt;=30,"8-30 days","&gt;30 days")))</f>
        <v>8-30 days</v>
      </c>
    </row>
    <row r="946" customFormat="false" ht="15" hidden="false" customHeight="false" outlineLevel="0" collapsed="false">
      <c r="A946" s="12" t="s">
        <v>1187</v>
      </c>
      <c r="B946" s="12" t="n">
        <v>49</v>
      </c>
      <c r="C946" s="12" t="s">
        <v>43</v>
      </c>
      <c r="D946" s="12" t="s">
        <v>69</v>
      </c>
      <c r="E946" s="12" t="s">
        <v>386</v>
      </c>
      <c r="F946" s="12" t="s">
        <v>114</v>
      </c>
      <c r="G946" s="12" t="s">
        <v>115</v>
      </c>
      <c r="H946" s="12" t="s">
        <v>59</v>
      </c>
      <c r="I946" s="12" t="n">
        <v>16</v>
      </c>
      <c r="J946" s="12" t="s">
        <v>105</v>
      </c>
      <c r="K946" s="12" t="s">
        <v>63</v>
      </c>
      <c r="L946" s="12" t="str">
        <f aca="false">IF(OR(H946="Severe",H946="Life-Threatening"),"Yes","No")</f>
        <v>Yes</v>
      </c>
      <c r="M946" s="12" t="str">
        <f aca="false">IF(B946&lt;18,"0-17",IF(B946&lt;40,"18-39",IF(B946&lt;60,"40-59","60+")))</f>
        <v>40-59</v>
      </c>
      <c r="N946" s="12" t="str">
        <f aca="false">IF(I946&lt;=1,"0-1 days",IF(I946&lt;=7,"2-7 days",IF(I946&lt;=30,"8-30 days","&gt;30 days")))</f>
        <v>8-30 days</v>
      </c>
    </row>
    <row r="947" customFormat="false" ht="15" hidden="false" customHeight="false" outlineLevel="0" collapsed="false">
      <c r="A947" s="12" t="s">
        <v>1188</v>
      </c>
      <c r="B947" s="12" t="n">
        <v>45</v>
      </c>
      <c r="C947" s="12" t="s">
        <v>34</v>
      </c>
      <c r="D947" s="12" t="s">
        <v>102</v>
      </c>
      <c r="E947" s="12" t="s">
        <v>141</v>
      </c>
      <c r="F947" s="12" t="s">
        <v>142</v>
      </c>
      <c r="G947" s="12" t="s">
        <v>38</v>
      </c>
      <c r="H947" s="12" t="s">
        <v>46</v>
      </c>
      <c r="I947" s="12" t="n">
        <v>25</v>
      </c>
      <c r="J947" s="12" t="s">
        <v>40</v>
      </c>
      <c r="K947" s="12" t="s">
        <v>48</v>
      </c>
      <c r="L947" s="12" t="str">
        <f aca="false">IF(OR(H947="Severe",H947="Life-Threatening"),"Yes","No")</f>
        <v>No</v>
      </c>
      <c r="M947" s="12" t="str">
        <f aca="false">IF(B947&lt;18,"0-17",IF(B947&lt;40,"18-39",IF(B947&lt;60,"40-59","60+")))</f>
        <v>40-59</v>
      </c>
      <c r="N947" s="12" t="str">
        <f aca="false">IF(I947&lt;=1,"0-1 days",IF(I947&lt;=7,"2-7 days",IF(I947&lt;=30,"8-30 days","&gt;30 days")))</f>
        <v>8-30 days</v>
      </c>
    </row>
    <row r="948" customFormat="false" ht="15" hidden="false" customHeight="false" outlineLevel="0" collapsed="false">
      <c r="A948" s="12" t="s">
        <v>1189</v>
      </c>
      <c r="B948" s="12" t="n">
        <v>70</v>
      </c>
      <c r="C948" s="12" t="s">
        <v>34</v>
      </c>
      <c r="D948" s="12" t="s">
        <v>102</v>
      </c>
      <c r="E948" s="12" t="s">
        <v>530</v>
      </c>
      <c r="F948" s="12" t="s">
        <v>531</v>
      </c>
      <c r="G948" s="12" t="s">
        <v>94</v>
      </c>
      <c r="H948" s="12" t="s">
        <v>39</v>
      </c>
      <c r="I948" s="12" t="n">
        <v>5</v>
      </c>
      <c r="J948" s="12" t="s">
        <v>40</v>
      </c>
      <c r="K948" s="12" t="s">
        <v>63</v>
      </c>
      <c r="L948" s="12" t="str">
        <f aca="false">IF(OR(H948="Severe",H948="Life-Threatening"),"Yes","No")</f>
        <v>No</v>
      </c>
      <c r="M948" s="12" t="str">
        <f aca="false">IF(B948&lt;18,"0-17",IF(B948&lt;40,"18-39",IF(B948&lt;60,"40-59","60+")))</f>
        <v>60+</v>
      </c>
      <c r="N948" s="12" t="str">
        <f aca="false">IF(I948&lt;=1,"0-1 days",IF(I948&lt;=7,"2-7 days",IF(I948&lt;=30,"8-30 days","&gt;30 days")))</f>
        <v>2-7 days</v>
      </c>
    </row>
    <row r="949" customFormat="false" ht="15" hidden="false" customHeight="false" outlineLevel="0" collapsed="false">
      <c r="A949" s="12" t="s">
        <v>1190</v>
      </c>
      <c r="B949" s="12" t="n">
        <v>14</v>
      </c>
      <c r="C949" s="12" t="s">
        <v>43</v>
      </c>
      <c r="D949" s="12" t="s">
        <v>35</v>
      </c>
      <c r="E949" s="12" t="s">
        <v>183</v>
      </c>
      <c r="F949" s="12" t="s">
        <v>139</v>
      </c>
      <c r="G949" s="12" t="s">
        <v>38</v>
      </c>
      <c r="H949" s="12" t="s">
        <v>46</v>
      </c>
      <c r="I949" s="12" t="n">
        <v>10</v>
      </c>
      <c r="J949" s="12" t="s">
        <v>47</v>
      </c>
      <c r="K949" s="12" t="s">
        <v>48</v>
      </c>
      <c r="L949" s="12" t="str">
        <f aca="false">IF(OR(H949="Severe",H949="Life-Threatening"),"Yes","No")</f>
        <v>No</v>
      </c>
      <c r="M949" s="12" t="str">
        <f aca="false">IF(B949&lt;18,"0-17",IF(B949&lt;40,"18-39",IF(B949&lt;60,"40-59","60+")))</f>
        <v>0-17</v>
      </c>
      <c r="N949" s="12" t="str">
        <f aca="false">IF(I949&lt;=1,"0-1 days",IF(I949&lt;=7,"2-7 days",IF(I949&lt;=30,"8-30 days","&gt;30 days")))</f>
        <v>8-30 days</v>
      </c>
    </row>
    <row r="950" customFormat="false" ht="15" hidden="false" customHeight="false" outlineLevel="0" collapsed="false">
      <c r="A950" s="12" t="s">
        <v>1191</v>
      </c>
      <c r="B950" s="12" t="n">
        <v>66</v>
      </c>
      <c r="C950" s="12" t="s">
        <v>43</v>
      </c>
      <c r="D950" s="12" t="s">
        <v>112</v>
      </c>
      <c r="E950" s="12" t="s">
        <v>694</v>
      </c>
      <c r="F950" s="12" t="s">
        <v>45</v>
      </c>
      <c r="G950" s="12" t="s">
        <v>38</v>
      </c>
      <c r="H950" s="12" t="s">
        <v>39</v>
      </c>
      <c r="I950" s="12" t="n">
        <v>22</v>
      </c>
      <c r="J950" s="12" t="s">
        <v>40</v>
      </c>
      <c r="K950" s="12" t="s">
        <v>48</v>
      </c>
      <c r="L950" s="12" t="str">
        <f aca="false">IF(OR(H950="Severe",H950="Life-Threatening"),"Yes","No")</f>
        <v>No</v>
      </c>
      <c r="M950" s="12" t="str">
        <f aca="false">IF(B950&lt;18,"0-17",IF(B950&lt;40,"18-39",IF(B950&lt;60,"40-59","60+")))</f>
        <v>60+</v>
      </c>
      <c r="N950" s="12" t="str">
        <f aca="false">IF(I950&lt;=1,"0-1 days",IF(I950&lt;=7,"2-7 days",IF(I950&lt;=30,"8-30 days","&gt;30 days")))</f>
        <v>8-30 days</v>
      </c>
    </row>
    <row r="951" customFormat="false" ht="15" hidden="false" customHeight="false" outlineLevel="0" collapsed="false">
      <c r="A951" s="12" t="s">
        <v>1192</v>
      </c>
      <c r="B951" s="12" t="n">
        <v>54</v>
      </c>
      <c r="C951" s="12" t="s">
        <v>34</v>
      </c>
      <c r="D951" s="12" t="s">
        <v>69</v>
      </c>
      <c r="E951" s="12" t="s">
        <v>239</v>
      </c>
      <c r="F951" s="12" t="s">
        <v>62</v>
      </c>
      <c r="G951" s="12" t="s">
        <v>53</v>
      </c>
      <c r="H951" s="12" t="s">
        <v>46</v>
      </c>
      <c r="I951" s="12" t="n">
        <v>18</v>
      </c>
      <c r="J951" s="12" t="s">
        <v>40</v>
      </c>
      <c r="K951" s="12" t="s">
        <v>48</v>
      </c>
      <c r="L951" s="12" t="str">
        <f aca="false">IF(OR(H951="Severe",H951="Life-Threatening"),"Yes","No")</f>
        <v>No</v>
      </c>
      <c r="M951" s="12" t="str">
        <f aca="false">IF(B951&lt;18,"0-17",IF(B951&lt;40,"18-39",IF(B951&lt;60,"40-59","60+")))</f>
        <v>40-59</v>
      </c>
      <c r="N951" s="12" t="str">
        <f aca="false">IF(I951&lt;=1,"0-1 days",IF(I951&lt;=7,"2-7 days",IF(I951&lt;=30,"8-30 days","&gt;30 days")))</f>
        <v>8-30 days</v>
      </c>
    </row>
    <row r="952" customFormat="false" ht="15" hidden="false" customHeight="false" outlineLevel="0" collapsed="false">
      <c r="A952" s="12" t="s">
        <v>1193</v>
      </c>
      <c r="B952" s="12" t="n">
        <v>20</v>
      </c>
      <c r="C952" s="12" t="s">
        <v>43</v>
      </c>
      <c r="D952" s="12" t="s">
        <v>474</v>
      </c>
      <c r="E952" s="12" t="s">
        <v>256</v>
      </c>
      <c r="F952" s="12" t="s">
        <v>264</v>
      </c>
      <c r="G952" s="12" t="s">
        <v>104</v>
      </c>
      <c r="H952" s="12" t="s">
        <v>39</v>
      </c>
      <c r="I952" s="12" t="n">
        <v>9</v>
      </c>
      <c r="J952" s="12" t="s">
        <v>40</v>
      </c>
      <c r="K952" s="12" t="s">
        <v>63</v>
      </c>
      <c r="L952" s="12" t="str">
        <f aca="false">IF(OR(H952="Severe",H952="Life-Threatening"),"Yes","No")</f>
        <v>No</v>
      </c>
      <c r="M952" s="12" t="str">
        <f aca="false">IF(B952&lt;18,"0-17",IF(B952&lt;40,"18-39",IF(B952&lt;60,"40-59","60+")))</f>
        <v>18-39</v>
      </c>
      <c r="N952" s="12" t="str">
        <f aca="false">IF(I952&lt;=1,"0-1 days",IF(I952&lt;=7,"2-7 days",IF(I952&lt;=30,"8-30 days","&gt;30 days")))</f>
        <v>8-30 days</v>
      </c>
    </row>
    <row r="953" customFormat="false" ht="15" hidden="false" customHeight="false" outlineLevel="0" collapsed="false">
      <c r="A953" s="12" t="s">
        <v>1194</v>
      </c>
      <c r="B953" s="12" t="n">
        <v>53</v>
      </c>
      <c r="C953" s="12" t="s">
        <v>34</v>
      </c>
      <c r="D953" s="12" t="s">
        <v>35</v>
      </c>
      <c r="E953" s="12" t="s">
        <v>113</v>
      </c>
      <c r="F953" s="12" t="s">
        <v>62</v>
      </c>
      <c r="G953" s="12" t="s">
        <v>53</v>
      </c>
      <c r="H953" s="12" t="s">
        <v>39</v>
      </c>
      <c r="I953" s="12" t="n">
        <v>14</v>
      </c>
      <c r="J953" s="12" t="s">
        <v>47</v>
      </c>
      <c r="K953" s="12" t="s">
        <v>48</v>
      </c>
      <c r="L953" s="12" t="str">
        <f aca="false">IF(OR(H953="Severe",H953="Life-Threatening"),"Yes","No")</f>
        <v>No</v>
      </c>
      <c r="M953" s="12" t="str">
        <f aca="false">IF(B953&lt;18,"0-17",IF(B953&lt;40,"18-39",IF(B953&lt;60,"40-59","60+")))</f>
        <v>40-59</v>
      </c>
      <c r="N953" s="12" t="str">
        <f aca="false">IF(I953&lt;=1,"0-1 days",IF(I953&lt;=7,"2-7 days",IF(I953&lt;=30,"8-30 days","&gt;30 days")))</f>
        <v>8-30 days</v>
      </c>
    </row>
    <row r="954" customFormat="false" ht="15" hidden="false" customHeight="false" outlineLevel="0" collapsed="false">
      <c r="A954" s="12" t="s">
        <v>1195</v>
      </c>
      <c r="B954" s="12" t="n">
        <v>43</v>
      </c>
      <c r="C954" s="12" t="s">
        <v>34</v>
      </c>
      <c r="D954" s="12" t="s">
        <v>231</v>
      </c>
      <c r="E954" s="12" t="s">
        <v>183</v>
      </c>
      <c r="F954" s="12" t="s">
        <v>325</v>
      </c>
      <c r="G954" s="12" t="s">
        <v>177</v>
      </c>
      <c r="H954" s="12" t="s">
        <v>76</v>
      </c>
      <c r="I954" s="12" t="n">
        <v>26</v>
      </c>
      <c r="J954" s="12" t="s">
        <v>40</v>
      </c>
      <c r="K954" s="12" t="s">
        <v>48</v>
      </c>
      <c r="L954" s="12" t="str">
        <f aca="false">IF(OR(H954="Severe",H954="Life-Threatening"),"Yes","No")</f>
        <v>Yes</v>
      </c>
      <c r="M954" s="12" t="str">
        <f aca="false">IF(B954&lt;18,"0-17",IF(B954&lt;40,"18-39",IF(B954&lt;60,"40-59","60+")))</f>
        <v>40-59</v>
      </c>
      <c r="N954" s="12" t="str">
        <f aca="false">IF(I954&lt;=1,"0-1 days",IF(I954&lt;=7,"2-7 days",IF(I954&lt;=30,"8-30 days","&gt;30 days")))</f>
        <v>8-30 days</v>
      </c>
    </row>
    <row r="955" customFormat="false" ht="15" hidden="false" customHeight="false" outlineLevel="0" collapsed="false">
      <c r="A955" s="12" t="s">
        <v>1196</v>
      </c>
      <c r="B955" s="12" t="n">
        <v>78</v>
      </c>
      <c r="C955" s="12" t="s">
        <v>34</v>
      </c>
      <c r="D955" s="12" t="s">
        <v>55</v>
      </c>
      <c r="E955" s="12" t="s">
        <v>239</v>
      </c>
      <c r="F955" s="12" t="s">
        <v>249</v>
      </c>
      <c r="G955" s="12" t="s">
        <v>152</v>
      </c>
      <c r="H955" s="12" t="s">
        <v>39</v>
      </c>
      <c r="I955" s="12" t="n">
        <v>30</v>
      </c>
      <c r="J955" s="12" t="s">
        <v>40</v>
      </c>
      <c r="K955" s="12" t="s">
        <v>41</v>
      </c>
      <c r="L955" s="12" t="str">
        <f aca="false">IF(OR(H955="Severe",H955="Life-Threatening"),"Yes","No")</f>
        <v>No</v>
      </c>
      <c r="M955" s="12" t="str">
        <f aca="false">IF(B955&lt;18,"0-17",IF(B955&lt;40,"18-39",IF(B955&lt;60,"40-59","60+")))</f>
        <v>60+</v>
      </c>
      <c r="N955" s="12" t="str">
        <f aca="false">IF(I955&lt;=1,"0-1 days",IF(I955&lt;=7,"2-7 days",IF(I955&lt;=30,"8-30 days","&gt;30 days")))</f>
        <v>8-30 days</v>
      </c>
    </row>
    <row r="956" customFormat="false" ht="15" hidden="false" customHeight="false" outlineLevel="0" collapsed="false">
      <c r="A956" s="12" t="s">
        <v>1197</v>
      </c>
      <c r="B956" s="12" t="n">
        <v>54</v>
      </c>
      <c r="C956" s="12" t="s">
        <v>43</v>
      </c>
      <c r="D956" s="12" t="s">
        <v>50</v>
      </c>
      <c r="E956" s="12" t="s">
        <v>243</v>
      </c>
      <c r="F956" s="12" t="s">
        <v>348</v>
      </c>
      <c r="G956" s="12" t="s">
        <v>94</v>
      </c>
      <c r="H956" s="12" t="s">
        <v>59</v>
      </c>
      <c r="I956" s="12" t="n">
        <v>20</v>
      </c>
      <c r="J956" s="12" t="s">
        <v>47</v>
      </c>
      <c r="K956" s="12" t="s">
        <v>63</v>
      </c>
      <c r="L956" s="12" t="str">
        <f aca="false">IF(OR(H956="Severe",H956="Life-Threatening"),"Yes","No")</f>
        <v>Yes</v>
      </c>
      <c r="M956" s="12" t="str">
        <f aca="false">IF(B956&lt;18,"0-17",IF(B956&lt;40,"18-39",IF(B956&lt;60,"40-59","60+")))</f>
        <v>40-59</v>
      </c>
      <c r="N956" s="12" t="str">
        <f aca="false">IF(I956&lt;=1,"0-1 days",IF(I956&lt;=7,"2-7 days",IF(I956&lt;=30,"8-30 days","&gt;30 days")))</f>
        <v>8-30 days</v>
      </c>
    </row>
    <row r="957" customFormat="false" ht="15" hidden="false" customHeight="false" outlineLevel="0" collapsed="false">
      <c r="A957" s="12" t="s">
        <v>1198</v>
      </c>
      <c r="B957" s="12" t="n">
        <v>24</v>
      </c>
      <c r="C957" s="12" t="s">
        <v>43</v>
      </c>
      <c r="D957" s="12" t="s">
        <v>55</v>
      </c>
      <c r="E957" s="12" t="s">
        <v>70</v>
      </c>
      <c r="F957" s="12" t="s">
        <v>108</v>
      </c>
      <c r="G957" s="12" t="s">
        <v>38</v>
      </c>
      <c r="H957" s="12" t="s">
        <v>76</v>
      </c>
      <c r="I957" s="12" t="n">
        <v>27</v>
      </c>
      <c r="J957" s="12" t="s">
        <v>40</v>
      </c>
      <c r="K957" s="12" t="s">
        <v>48</v>
      </c>
      <c r="L957" s="12" t="str">
        <f aca="false">IF(OR(H957="Severe",H957="Life-Threatening"),"Yes","No")</f>
        <v>Yes</v>
      </c>
      <c r="M957" s="12" t="str">
        <f aca="false">IF(B957&lt;18,"0-17",IF(B957&lt;40,"18-39",IF(B957&lt;60,"40-59","60+")))</f>
        <v>18-39</v>
      </c>
      <c r="N957" s="12" t="str">
        <f aca="false">IF(I957&lt;=1,"0-1 days",IF(I957&lt;=7,"2-7 days",IF(I957&lt;=30,"8-30 days","&gt;30 days")))</f>
        <v>8-30 days</v>
      </c>
    </row>
    <row r="958" customFormat="false" ht="15" hidden="false" customHeight="false" outlineLevel="0" collapsed="false">
      <c r="A958" s="12" t="s">
        <v>1199</v>
      </c>
      <c r="B958" s="12" t="n">
        <v>57</v>
      </c>
      <c r="C958" s="12" t="s">
        <v>43</v>
      </c>
      <c r="D958" s="12" t="s">
        <v>102</v>
      </c>
      <c r="E958" s="12" t="s">
        <v>127</v>
      </c>
      <c r="F958" s="12" t="s">
        <v>325</v>
      </c>
      <c r="G958" s="12" t="s">
        <v>177</v>
      </c>
      <c r="H958" s="12" t="s">
        <v>76</v>
      </c>
      <c r="I958" s="12" t="n">
        <v>9</v>
      </c>
      <c r="J958" s="12" t="s">
        <v>40</v>
      </c>
      <c r="K958" s="12" t="s">
        <v>63</v>
      </c>
      <c r="L958" s="12" t="str">
        <f aca="false">IF(OR(H958="Severe",H958="Life-Threatening"),"Yes","No")</f>
        <v>Yes</v>
      </c>
      <c r="M958" s="12" t="str">
        <f aca="false">IF(B958&lt;18,"0-17",IF(B958&lt;40,"18-39",IF(B958&lt;60,"40-59","60+")))</f>
        <v>40-59</v>
      </c>
      <c r="N958" s="12" t="str">
        <f aca="false">IF(I958&lt;=1,"0-1 days",IF(I958&lt;=7,"2-7 days",IF(I958&lt;=30,"8-30 days","&gt;30 days")))</f>
        <v>8-30 days</v>
      </c>
    </row>
    <row r="959" customFormat="false" ht="15" hidden="false" customHeight="false" outlineLevel="0" collapsed="false">
      <c r="A959" s="12" t="s">
        <v>1200</v>
      </c>
      <c r="B959" s="12" t="n">
        <v>31</v>
      </c>
      <c r="C959" s="12" t="s">
        <v>43</v>
      </c>
      <c r="D959" s="12" t="s">
        <v>35</v>
      </c>
      <c r="E959" s="12" t="s">
        <v>127</v>
      </c>
      <c r="F959" s="12" t="s">
        <v>128</v>
      </c>
      <c r="G959" s="12" t="s">
        <v>53</v>
      </c>
      <c r="H959" s="12" t="s">
        <v>46</v>
      </c>
      <c r="I959" s="12" t="n">
        <v>25</v>
      </c>
      <c r="J959" s="12" t="s">
        <v>169</v>
      </c>
      <c r="K959" s="12" t="s">
        <v>48</v>
      </c>
      <c r="L959" s="12" t="str">
        <f aca="false">IF(OR(H959="Severe",H959="Life-Threatening"),"Yes","No")</f>
        <v>No</v>
      </c>
      <c r="M959" s="12" t="str">
        <f aca="false">IF(B959&lt;18,"0-17",IF(B959&lt;40,"18-39",IF(B959&lt;60,"40-59","60+")))</f>
        <v>18-39</v>
      </c>
      <c r="N959" s="12" t="str">
        <f aca="false">IF(I959&lt;=1,"0-1 days",IF(I959&lt;=7,"2-7 days",IF(I959&lt;=30,"8-30 days","&gt;30 days")))</f>
        <v>8-30 days</v>
      </c>
    </row>
    <row r="960" customFormat="false" ht="15" hidden="false" customHeight="false" outlineLevel="0" collapsed="false">
      <c r="A960" s="12" t="s">
        <v>1201</v>
      </c>
      <c r="B960" s="12" t="n">
        <v>40</v>
      </c>
      <c r="C960" s="12" t="s">
        <v>34</v>
      </c>
      <c r="D960" s="12" t="s">
        <v>234</v>
      </c>
      <c r="E960" s="12" t="s">
        <v>538</v>
      </c>
      <c r="F960" s="12" t="s">
        <v>257</v>
      </c>
      <c r="G960" s="12" t="s">
        <v>80</v>
      </c>
      <c r="H960" s="12" t="s">
        <v>59</v>
      </c>
      <c r="I960" s="12" t="n">
        <v>22</v>
      </c>
      <c r="J960" s="12" t="s">
        <v>47</v>
      </c>
      <c r="K960" s="12" t="s">
        <v>63</v>
      </c>
      <c r="L960" s="12" t="str">
        <f aca="false">IF(OR(H960="Severe",H960="Life-Threatening"),"Yes","No")</f>
        <v>Yes</v>
      </c>
      <c r="M960" s="12" t="str">
        <f aca="false">IF(B960&lt;18,"0-17",IF(B960&lt;40,"18-39",IF(B960&lt;60,"40-59","60+")))</f>
        <v>40-59</v>
      </c>
      <c r="N960" s="12" t="str">
        <f aca="false">IF(I960&lt;=1,"0-1 days",IF(I960&lt;=7,"2-7 days",IF(I960&lt;=30,"8-30 days","&gt;30 days")))</f>
        <v>8-30 days</v>
      </c>
    </row>
    <row r="961" customFormat="false" ht="15" hidden="false" customHeight="false" outlineLevel="0" collapsed="false">
      <c r="A961" s="12" t="s">
        <v>1202</v>
      </c>
      <c r="B961" s="12" t="n">
        <v>33</v>
      </c>
      <c r="C961" s="12" t="s">
        <v>34</v>
      </c>
      <c r="D961" s="12" t="s">
        <v>474</v>
      </c>
      <c r="E961" s="12" t="s">
        <v>383</v>
      </c>
      <c r="F961" s="12" t="s">
        <v>235</v>
      </c>
      <c r="G961" s="12" t="s">
        <v>53</v>
      </c>
      <c r="H961" s="12" t="s">
        <v>46</v>
      </c>
      <c r="I961" s="12" t="n">
        <v>3</v>
      </c>
      <c r="J961" s="12" t="s">
        <v>169</v>
      </c>
      <c r="K961" s="12" t="s">
        <v>63</v>
      </c>
      <c r="L961" s="12" t="str">
        <f aca="false">IF(OR(H961="Severe",H961="Life-Threatening"),"Yes","No")</f>
        <v>No</v>
      </c>
      <c r="M961" s="12" t="str">
        <f aca="false">IF(B961&lt;18,"0-17",IF(B961&lt;40,"18-39",IF(B961&lt;60,"40-59","60+")))</f>
        <v>18-39</v>
      </c>
      <c r="N961" s="12" t="str">
        <f aca="false">IF(I961&lt;=1,"0-1 days",IF(I961&lt;=7,"2-7 days",IF(I961&lt;=30,"8-30 days","&gt;30 days")))</f>
        <v>2-7 days</v>
      </c>
    </row>
    <row r="962" customFormat="false" ht="15" hidden="false" customHeight="false" outlineLevel="0" collapsed="false">
      <c r="A962" s="12" t="s">
        <v>1203</v>
      </c>
      <c r="B962" s="12" t="n">
        <v>49</v>
      </c>
      <c r="C962" s="12" t="s">
        <v>43</v>
      </c>
      <c r="D962" s="12" t="s">
        <v>35</v>
      </c>
      <c r="E962" s="12" t="s">
        <v>61</v>
      </c>
      <c r="F962" s="12" t="s">
        <v>45</v>
      </c>
      <c r="G962" s="12" t="s">
        <v>38</v>
      </c>
      <c r="H962" s="12" t="s">
        <v>76</v>
      </c>
      <c r="I962" s="12" t="n">
        <v>6</v>
      </c>
      <c r="J962" s="12" t="s">
        <v>40</v>
      </c>
      <c r="K962" s="12" t="s">
        <v>63</v>
      </c>
      <c r="L962" s="12" t="str">
        <f aca="false">IF(OR(H962="Severe",H962="Life-Threatening"),"Yes","No")</f>
        <v>Yes</v>
      </c>
      <c r="M962" s="12" t="str">
        <f aca="false">IF(B962&lt;18,"0-17",IF(B962&lt;40,"18-39",IF(B962&lt;60,"40-59","60+")))</f>
        <v>40-59</v>
      </c>
      <c r="N962" s="12" t="str">
        <f aca="false">IF(I962&lt;=1,"0-1 days",IF(I962&lt;=7,"2-7 days",IF(I962&lt;=30,"8-30 days","&gt;30 days")))</f>
        <v>2-7 days</v>
      </c>
    </row>
    <row r="963" customFormat="false" ht="15" hidden="false" customHeight="false" outlineLevel="0" collapsed="false">
      <c r="A963" s="12" t="s">
        <v>1204</v>
      </c>
      <c r="B963" s="12" t="n">
        <v>33</v>
      </c>
      <c r="C963" s="12" t="s">
        <v>34</v>
      </c>
      <c r="D963" s="12" t="s">
        <v>69</v>
      </c>
      <c r="E963" s="12" t="s">
        <v>495</v>
      </c>
      <c r="F963" s="12" t="s">
        <v>403</v>
      </c>
      <c r="G963" s="12" t="s">
        <v>80</v>
      </c>
      <c r="H963" s="12" t="s">
        <v>39</v>
      </c>
      <c r="I963" s="12" t="n">
        <v>4</v>
      </c>
      <c r="J963" s="12" t="s">
        <v>67</v>
      </c>
      <c r="K963" s="12" t="s">
        <v>63</v>
      </c>
      <c r="L963" s="12" t="str">
        <f aca="false">IF(OR(H963="Severe",H963="Life-Threatening"),"Yes","No")</f>
        <v>No</v>
      </c>
      <c r="M963" s="12" t="str">
        <f aca="false">IF(B963&lt;18,"0-17",IF(B963&lt;40,"18-39",IF(B963&lt;60,"40-59","60+")))</f>
        <v>18-39</v>
      </c>
      <c r="N963" s="12" t="str">
        <f aca="false">IF(I963&lt;=1,"0-1 days",IF(I963&lt;=7,"2-7 days",IF(I963&lt;=30,"8-30 days","&gt;30 days")))</f>
        <v>2-7 days</v>
      </c>
    </row>
    <row r="964" customFormat="false" ht="15" hidden="false" customHeight="false" outlineLevel="0" collapsed="false">
      <c r="A964" s="12" t="s">
        <v>1205</v>
      </c>
      <c r="B964" s="12" t="n">
        <v>26</v>
      </c>
      <c r="C964" s="12" t="s">
        <v>43</v>
      </c>
      <c r="D964" s="12" t="s">
        <v>82</v>
      </c>
      <c r="E964" s="12" t="s">
        <v>36</v>
      </c>
      <c r="F964" s="12" t="s">
        <v>364</v>
      </c>
      <c r="G964" s="12" t="s">
        <v>38</v>
      </c>
      <c r="H964" s="12" t="s">
        <v>59</v>
      </c>
      <c r="I964" s="12" t="n">
        <v>28</v>
      </c>
      <c r="J964" s="12" t="s">
        <v>40</v>
      </c>
      <c r="K964" s="12" t="s">
        <v>48</v>
      </c>
      <c r="L964" s="12" t="str">
        <f aca="false">IF(OR(H964="Severe",H964="Life-Threatening"),"Yes","No")</f>
        <v>Yes</v>
      </c>
      <c r="M964" s="12" t="str">
        <f aca="false">IF(B964&lt;18,"0-17",IF(B964&lt;40,"18-39",IF(B964&lt;60,"40-59","60+")))</f>
        <v>18-39</v>
      </c>
      <c r="N964" s="12" t="str">
        <f aca="false">IF(I964&lt;=1,"0-1 days",IF(I964&lt;=7,"2-7 days",IF(I964&lt;=30,"8-30 days","&gt;30 days")))</f>
        <v>8-30 days</v>
      </c>
    </row>
    <row r="965" customFormat="false" ht="15" hidden="false" customHeight="false" outlineLevel="0" collapsed="false">
      <c r="A965" s="12" t="s">
        <v>1206</v>
      </c>
      <c r="B965" s="12" t="n">
        <v>13</v>
      </c>
      <c r="C965" s="12" t="s">
        <v>43</v>
      </c>
      <c r="D965" s="12" t="s">
        <v>35</v>
      </c>
      <c r="E965" s="12" t="s">
        <v>268</v>
      </c>
      <c r="F965" s="12" t="s">
        <v>364</v>
      </c>
      <c r="G965" s="12" t="s">
        <v>38</v>
      </c>
      <c r="H965" s="12" t="s">
        <v>59</v>
      </c>
      <c r="I965" s="12" t="n">
        <v>13</v>
      </c>
      <c r="J965" s="12" t="s">
        <v>169</v>
      </c>
      <c r="K965" s="12" t="s">
        <v>48</v>
      </c>
      <c r="L965" s="12" t="str">
        <f aca="false">IF(OR(H965="Severe",H965="Life-Threatening"),"Yes","No")</f>
        <v>Yes</v>
      </c>
      <c r="M965" s="12" t="str">
        <f aca="false">IF(B965&lt;18,"0-17",IF(B965&lt;40,"18-39",IF(B965&lt;60,"40-59","60+")))</f>
        <v>0-17</v>
      </c>
      <c r="N965" s="12" t="str">
        <f aca="false">IF(I965&lt;=1,"0-1 days",IF(I965&lt;=7,"2-7 days",IF(I965&lt;=30,"8-30 days","&gt;30 days")))</f>
        <v>8-30 days</v>
      </c>
    </row>
    <row r="966" customFormat="false" ht="15" hidden="false" customHeight="false" outlineLevel="0" collapsed="false">
      <c r="A966" s="12" t="s">
        <v>1207</v>
      </c>
      <c r="B966" s="12" t="n">
        <v>58</v>
      </c>
      <c r="C966" s="12" t="s">
        <v>43</v>
      </c>
      <c r="D966" s="12" t="s">
        <v>55</v>
      </c>
      <c r="E966" s="12" t="s">
        <v>36</v>
      </c>
      <c r="F966" s="12" t="s">
        <v>37</v>
      </c>
      <c r="G966" s="12" t="s">
        <v>38</v>
      </c>
      <c r="H966" s="12" t="s">
        <v>76</v>
      </c>
      <c r="I966" s="12" t="n">
        <v>18</v>
      </c>
      <c r="J966" s="12" t="s">
        <v>67</v>
      </c>
      <c r="K966" s="12" t="s">
        <v>41</v>
      </c>
      <c r="L966" s="12" t="str">
        <f aca="false">IF(OR(H966="Severe",H966="Life-Threatening"),"Yes","No")</f>
        <v>Yes</v>
      </c>
      <c r="M966" s="12" t="str">
        <f aca="false">IF(B966&lt;18,"0-17",IF(B966&lt;40,"18-39",IF(B966&lt;60,"40-59","60+")))</f>
        <v>40-59</v>
      </c>
      <c r="N966" s="12" t="str">
        <f aca="false">IF(I966&lt;=1,"0-1 days",IF(I966&lt;=7,"2-7 days",IF(I966&lt;=30,"8-30 days","&gt;30 days")))</f>
        <v>8-30 days</v>
      </c>
    </row>
    <row r="967" customFormat="false" ht="15" hidden="false" customHeight="false" outlineLevel="0" collapsed="false">
      <c r="A967" s="12" t="s">
        <v>1208</v>
      </c>
      <c r="B967" s="12" t="n">
        <v>26</v>
      </c>
      <c r="C967" s="12" t="s">
        <v>34</v>
      </c>
      <c r="D967" s="12" t="s">
        <v>163</v>
      </c>
      <c r="E967" s="12" t="s">
        <v>369</v>
      </c>
      <c r="F967" s="12" t="s">
        <v>62</v>
      </c>
      <c r="G967" s="12" t="s">
        <v>53</v>
      </c>
      <c r="H967" s="12" t="s">
        <v>46</v>
      </c>
      <c r="I967" s="12" t="n">
        <v>1</v>
      </c>
      <c r="J967" s="12" t="s">
        <v>47</v>
      </c>
      <c r="K967" s="12" t="s">
        <v>48</v>
      </c>
      <c r="L967" s="12" t="str">
        <f aca="false">IF(OR(H967="Severe",H967="Life-Threatening"),"Yes","No")</f>
        <v>No</v>
      </c>
      <c r="M967" s="12" t="str">
        <f aca="false">IF(B967&lt;18,"0-17",IF(B967&lt;40,"18-39",IF(B967&lt;60,"40-59","60+")))</f>
        <v>18-39</v>
      </c>
      <c r="N967" s="12" t="str">
        <f aca="false">IF(I967&lt;=1,"0-1 days",IF(I967&lt;=7,"2-7 days",IF(I967&lt;=30,"8-30 days","&gt;30 days")))</f>
        <v>0-1 days</v>
      </c>
    </row>
    <row r="968" customFormat="false" ht="15" hidden="false" customHeight="false" outlineLevel="0" collapsed="false">
      <c r="A968" s="12" t="s">
        <v>1209</v>
      </c>
      <c r="B968" s="12" t="n">
        <v>14</v>
      </c>
      <c r="C968" s="12" t="s">
        <v>34</v>
      </c>
      <c r="D968" s="12" t="s">
        <v>327</v>
      </c>
      <c r="E968" s="12" t="s">
        <v>56</v>
      </c>
      <c r="F968" s="12" t="s">
        <v>100</v>
      </c>
      <c r="G968" s="12" t="s">
        <v>72</v>
      </c>
      <c r="H968" s="12" t="s">
        <v>39</v>
      </c>
      <c r="I968" s="12" t="n">
        <v>24</v>
      </c>
      <c r="J968" s="12" t="s">
        <v>40</v>
      </c>
      <c r="K968" s="12" t="s">
        <v>48</v>
      </c>
      <c r="L968" s="12" t="str">
        <f aca="false">IF(OR(H968="Severe",H968="Life-Threatening"),"Yes","No")</f>
        <v>No</v>
      </c>
      <c r="M968" s="12" t="str">
        <f aca="false">IF(B968&lt;18,"0-17",IF(B968&lt;40,"18-39",IF(B968&lt;60,"40-59","60+")))</f>
        <v>0-17</v>
      </c>
      <c r="N968" s="12" t="str">
        <f aca="false">IF(I968&lt;=1,"0-1 days",IF(I968&lt;=7,"2-7 days",IF(I968&lt;=30,"8-30 days","&gt;30 days")))</f>
        <v>8-30 days</v>
      </c>
    </row>
    <row r="969" customFormat="false" ht="15" hidden="false" customHeight="false" outlineLevel="0" collapsed="false">
      <c r="A969" s="12" t="s">
        <v>1210</v>
      </c>
      <c r="B969" s="12" t="n">
        <v>39</v>
      </c>
      <c r="C969" s="12" t="s">
        <v>34</v>
      </c>
      <c r="D969" s="12" t="s">
        <v>190</v>
      </c>
      <c r="E969" s="12" t="s">
        <v>89</v>
      </c>
      <c r="F969" s="12" t="s">
        <v>364</v>
      </c>
      <c r="G969" s="12" t="s">
        <v>38</v>
      </c>
      <c r="H969" s="12" t="s">
        <v>76</v>
      </c>
      <c r="I969" s="12" t="n">
        <v>30</v>
      </c>
      <c r="J969" s="12" t="s">
        <v>47</v>
      </c>
      <c r="K969" s="12" t="s">
        <v>63</v>
      </c>
      <c r="L969" s="12" t="str">
        <f aca="false">IF(OR(H969="Severe",H969="Life-Threatening"),"Yes","No")</f>
        <v>Yes</v>
      </c>
      <c r="M969" s="12" t="str">
        <f aca="false">IF(B969&lt;18,"0-17",IF(B969&lt;40,"18-39",IF(B969&lt;60,"40-59","60+")))</f>
        <v>18-39</v>
      </c>
      <c r="N969" s="12" t="str">
        <f aca="false">IF(I969&lt;=1,"0-1 days",IF(I969&lt;=7,"2-7 days",IF(I969&lt;=30,"8-30 days","&gt;30 days")))</f>
        <v>8-30 days</v>
      </c>
    </row>
    <row r="970" customFormat="false" ht="15" hidden="false" customHeight="false" outlineLevel="0" collapsed="false">
      <c r="A970" s="12" t="s">
        <v>1211</v>
      </c>
      <c r="B970" s="12" t="n">
        <v>22</v>
      </c>
      <c r="C970" s="12" t="s">
        <v>34</v>
      </c>
      <c r="D970" s="12" t="s">
        <v>190</v>
      </c>
      <c r="E970" s="12" t="s">
        <v>369</v>
      </c>
      <c r="F970" s="12" t="s">
        <v>62</v>
      </c>
      <c r="G970" s="12" t="s">
        <v>53</v>
      </c>
      <c r="H970" s="12" t="s">
        <v>76</v>
      </c>
      <c r="I970" s="12" t="n">
        <v>25</v>
      </c>
      <c r="J970" s="12" t="s">
        <v>169</v>
      </c>
      <c r="K970" s="12" t="s">
        <v>48</v>
      </c>
      <c r="L970" s="12" t="str">
        <f aca="false">IF(OR(H970="Severe",H970="Life-Threatening"),"Yes","No")</f>
        <v>Yes</v>
      </c>
      <c r="M970" s="12" t="str">
        <f aca="false">IF(B970&lt;18,"0-17",IF(B970&lt;40,"18-39",IF(B970&lt;60,"40-59","60+")))</f>
        <v>18-39</v>
      </c>
      <c r="N970" s="12" t="str">
        <f aca="false">IF(I970&lt;=1,"0-1 days",IF(I970&lt;=7,"2-7 days",IF(I970&lt;=30,"8-30 days","&gt;30 days")))</f>
        <v>8-30 days</v>
      </c>
    </row>
    <row r="971" customFormat="false" ht="15" hidden="false" customHeight="false" outlineLevel="0" collapsed="false">
      <c r="A971" s="12" t="s">
        <v>1212</v>
      </c>
      <c r="B971" s="12" t="n">
        <v>35</v>
      </c>
      <c r="C971" s="12" t="s">
        <v>43</v>
      </c>
      <c r="D971" s="12" t="s">
        <v>50</v>
      </c>
      <c r="E971" s="12" t="s">
        <v>280</v>
      </c>
      <c r="F971" s="12" t="s">
        <v>302</v>
      </c>
      <c r="G971" s="12" t="s">
        <v>53</v>
      </c>
      <c r="H971" s="12" t="s">
        <v>39</v>
      </c>
      <c r="I971" s="12" t="n">
        <v>24</v>
      </c>
      <c r="J971" s="12" t="s">
        <v>47</v>
      </c>
      <c r="K971" s="12" t="s">
        <v>48</v>
      </c>
      <c r="L971" s="12" t="str">
        <f aca="false">IF(OR(H971="Severe",H971="Life-Threatening"),"Yes","No")</f>
        <v>No</v>
      </c>
      <c r="M971" s="12" t="str">
        <f aca="false">IF(B971&lt;18,"0-17",IF(B971&lt;40,"18-39",IF(B971&lt;60,"40-59","60+")))</f>
        <v>18-39</v>
      </c>
      <c r="N971" s="12" t="str">
        <f aca="false">IF(I971&lt;=1,"0-1 days",IF(I971&lt;=7,"2-7 days",IF(I971&lt;=30,"8-30 days","&gt;30 days")))</f>
        <v>8-30 days</v>
      </c>
    </row>
    <row r="972" customFormat="false" ht="15" hidden="false" customHeight="false" outlineLevel="0" collapsed="false">
      <c r="A972" s="12" t="s">
        <v>1213</v>
      </c>
      <c r="B972" s="12" t="n">
        <v>34</v>
      </c>
      <c r="C972" s="12" t="s">
        <v>43</v>
      </c>
      <c r="D972" s="12" t="s">
        <v>234</v>
      </c>
      <c r="E972" s="12" t="s">
        <v>407</v>
      </c>
      <c r="F972" s="12" t="s">
        <v>62</v>
      </c>
      <c r="G972" s="12" t="s">
        <v>53</v>
      </c>
      <c r="H972" s="12" t="s">
        <v>39</v>
      </c>
      <c r="I972" s="12" t="n">
        <v>29</v>
      </c>
      <c r="J972" s="12" t="s">
        <v>40</v>
      </c>
      <c r="K972" s="12" t="s">
        <v>63</v>
      </c>
      <c r="L972" s="12" t="str">
        <f aca="false">IF(OR(H972="Severe",H972="Life-Threatening"),"Yes","No")</f>
        <v>No</v>
      </c>
      <c r="M972" s="12" t="str">
        <f aca="false">IF(B972&lt;18,"0-17",IF(B972&lt;40,"18-39",IF(B972&lt;60,"40-59","60+")))</f>
        <v>18-39</v>
      </c>
      <c r="N972" s="12" t="str">
        <f aca="false">IF(I972&lt;=1,"0-1 days",IF(I972&lt;=7,"2-7 days",IF(I972&lt;=30,"8-30 days","&gt;30 days")))</f>
        <v>8-30 days</v>
      </c>
    </row>
    <row r="973" customFormat="false" ht="15" hidden="false" customHeight="false" outlineLevel="0" collapsed="false">
      <c r="A973" s="12" t="s">
        <v>1214</v>
      </c>
      <c r="B973" s="12" t="n">
        <v>29</v>
      </c>
      <c r="C973" s="12" t="s">
        <v>34</v>
      </c>
      <c r="D973" s="12" t="s">
        <v>35</v>
      </c>
      <c r="E973" s="12" t="s">
        <v>124</v>
      </c>
      <c r="F973" s="12" t="s">
        <v>62</v>
      </c>
      <c r="G973" s="12" t="s">
        <v>53</v>
      </c>
      <c r="H973" s="12" t="s">
        <v>46</v>
      </c>
      <c r="I973" s="12" t="n">
        <v>5</v>
      </c>
      <c r="J973" s="12" t="s">
        <v>40</v>
      </c>
      <c r="K973" s="12" t="s">
        <v>41</v>
      </c>
      <c r="L973" s="12" t="str">
        <f aca="false">IF(OR(H973="Severe",H973="Life-Threatening"),"Yes","No")</f>
        <v>No</v>
      </c>
      <c r="M973" s="12" t="str">
        <f aca="false">IF(B973&lt;18,"0-17",IF(B973&lt;40,"18-39",IF(B973&lt;60,"40-59","60+")))</f>
        <v>18-39</v>
      </c>
      <c r="N973" s="12" t="str">
        <f aca="false">IF(I973&lt;=1,"0-1 days",IF(I973&lt;=7,"2-7 days",IF(I973&lt;=30,"8-30 days","&gt;30 days")))</f>
        <v>2-7 days</v>
      </c>
    </row>
    <row r="974" customFormat="false" ht="15" hidden="false" customHeight="false" outlineLevel="0" collapsed="false">
      <c r="A974" s="12" t="s">
        <v>1215</v>
      </c>
      <c r="B974" s="12" t="n">
        <v>71</v>
      </c>
      <c r="C974" s="12" t="s">
        <v>43</v>
      </c>
      <c r="D974" s="12" t="s">
        <v>196</v>
      </c>
      <c r="E974" s="12" t="s">
        <v>266</v>
      </c>
      <c r="F974" s="12" t="s">
        <v>114</v>
      </c>
      <c r="G974" s="12" t="s">
        <v>115</v>
      </c>
      <c r="H974" s="12" t="s">
        <v>76</v>
      </c>
      <c r="I974" s="12" t="n">
        <v>7</v>
      </c>
      <c r="J974" s="12" t="s">
        <v>47</v>
      </c>
      <c r="K974" s="12" t="s">
        <v>63</v>
      </c>
      <c r="L974" s="12" t="str">
        <f aca="false">IF(OR(H974="Severe",H974="Life-Threatening"),"Yes","No")</f>
        <v>Yes</v>
      </c>
      <c r="M974" s="12" t="str">
        <f aca="false">IF(B974&lt;18,"0-17",IF(B974&lt;40,"18-39",IF(B974&lt;60,"40-59","60+")))</f>
        <v>60+</v>
      </c>
      <c r="N974" s="12" t="str">
        <f aca="false">IF(I974&lt;=1,"0-1 days",IF(I974&lt;=7,"2-7 days",IF(I974&lt;=30,"8-30 days","&gt;30 days")))</f>
        <v>2-7 days</v>
      </c>
    </row>
    <row r="975" customFormat="false" ht="15" hidden="false" customHeight="false" outlineLevel="0" collapsed="false">
      <c r="A975" s="12" t="s">
        <v>1216</v>
      </c>
      <c r="B975" s="12" t="n">
        <v>44</v>
      </c>
      <c r="C975" s="12" t="s">
        <v>34</v>
      </c>
      <c r="D975" s="12" t="s">
        <v>35</v>
      </c>
      <c r="E975" s="12" t="s">
        <v>204</v>
      </c>
      <c r="F975" s="12" t="s">
        <v>45</v>
      </c>
      <c r="G975" s="12" t="s">
        <v>38</v>
      </c>
      <c r="H975" s="12" t="s">
        <v>39</v>
      </c>
      <c r="I975" s="12" t="n">
        <v>30</v>
      </c>
      <c r="J975" s="12" t="s">
        <v>47</v>
      </c>
      <c r="K975" s="12" t="s">
        <v>63</v>
      </c>
      <c r="L975" s="12" t="str">
        <f aca="false">IF(OR(H975="Severe",H975="Life-Threatening"),"Yes","No")</f>
        <v>No</v>
      </c>
      <c r="M975" s="12" t="str">
        <f aca="false">IF(B975&lt;18,"0-17",IF(B975&lt;40,"18-39",IF(B975&lt;60,"40-59","60+")))</f>
        <v>40-59</v>
      </c>
      <c r="N975" s="12" t="str">
        <f aca="false">IF(I975&lt;=1,"0-1 days",IF(I975&lt;=7,"2-7 days",IF(I975&lt;=30,"8-30 days","&gt;30 days")))</f>
        <v>8-30 days</v>
      </c>
    </row>
    <row r="976" customFormat="false" ht="15" hidden="false" customHeight="false" outlineLevel="0" collapsed="false">
      <c r="A976" s="12" t="s">
        <v>1217</v>
      </c>
      <c r="B976" s="12" t="n">
        <v>43</v>
      </c>
      <c r="C976" s="12" t="s">
        <v>34</v>
      </c>
      <c r="D976" s="12" t="s">
        <v>190</v>
      </c>
      <c r="E976" s="12" t="s">
        <v>287</v>
      </c>
      <c r="F976" s="12" t="s">
        <v>45</v>
      </c>
      <c r="G976" s="12" t="s">
        <v>38</v>
      </c>
      <c r="H976" s="12" t="s">
        <v>46</v>
      </c>
      <c r="I976" s="12" t="n">
        <v>29</v>
      </c>
      <c r="J976" s="12" t="s">
        <v>40</v>
      </c>
      <c r="K976" s="12" t="s">
        <v>48</v>
      </c>
      <c r="L976" s="12" t="str">
        <f aca="false">IF(OR(H976="Severe",H976="Life-Threatening"),"Yes","No")</f>
        <v>No</v>
      </c>
      <c r="M976" s="12" t="str">
        <f aca="false">IF(B976&lt;18,"0-17",IF(B976&lt;40,"18-39",IF(B976&lt;60,"40-59","60+")))</f>
        <v>40-59</v>
      </c>
      <c r="N976" s="12" t="str">
        <f aca="false">IF(I976&lt;=1,"0-1 days",IF(I976&lt;=7,"2-7 days",IF(I976&lt;=30,"8-30 days","&gt;30 days")))</f>
        <v>8-30 days</v>
      </c>
    </row>
    <row r="977" customFormat="false" ht="15" hidden="false" customHeight="false" outlineLevel="0" collapsed="false">
      <c r="A977" s="12" t="s">
        <v>1218</v>
      </c>
      <c r="B977" s="12" t="n">
        <v>39</v>
      </c>
      <c r="C977" s="12" t="s">
        <v>34</v>
      </c>
      <c r="D977" s="12" t="s">
        <v>55</v>
      </c>
      <c r="E977" s="12" t="s">
        <v>280</v>
      </c>
      <c r="F977" s="12" t="s">
        <v>45</v>
      </c>
      <c r="G977" s="12" t="s">
        <v>38</v>
      </c>
      <c r="H977" s="12" t="s">
        <v>46</v>
      </c>
      <c r="I977" s="12" t="n">
        <v>12</v>
      </c>
      <c r="J977" s="12" t="s">
        <v>47</v>
      </c>
      <c r="K977" s="12" t="s">
        <v>48</v>
      </c>
      <c r="L977" s="12" t="str">
        <f aca="false">IF(OR(H977="Severe",H977="Life-Threatening"),"Yes","No")</f>
        <v>No</v>
      </c>
      <c r="M977" s="12" t="str">
        <f aca="false">IF(B977&lt;18,"0-17",IF(B977&lt;40,"18-39",IF(B977&lt;60,"40-59","60+")))</f>
        <v>18-39</v>
      </c>
      <c r="N977" s="12" t="str">
        <f aca="false">IF(I977&lt;=1,"0-1 days",IF(I977&lt;=7,"2-7 days",IF(I977&lt;=30,"8-30 days","&gt;30 days")))</f>
        <v>8-30 days</v>
      </c>
    </row>
    <row r="978" customFormat="false" ht="15" hidden="false" customHeight="false" outlineLevel="0" collapsed="false">
      <c r="A978" s="12" t="s">
        <v>1219</v>
      </c>
      <c r="B978" s="12" t="n">
        <v>61</v>
      </c>
      <c r="C978" s="12" t="s">
        <v>43</v>
      </c>
      <c r="D978" s="12" t="s">
        <v>117</v>
      </c>
      <c r="E978" s="12" t="s">
        <v>386</v>
      </c>
      <c r="F978" s="12" t="s">
        <v>62</v>
      </c>
      <c r="G978" s="12" t="s">
        <v>53</v>
      </c>
      <c r="H978" s="12" t="s">
        <v>46</v>
      </c>
      <c r="I978" s="12" t="n">
        <v>17</v>
      </c>
      <c r="J978" s="12" t="s">
        <v>40</v>
      </c>
      <c r="K978" s="12" t="s">
        <v>41</v>
      </c>
      <c r="L978" s="12" t="str">
        <f aca="false">IF(OR(H978="Severe",H978="Life-Threatening"),"Yes","No")</f>
        <v>No</v>
      </c>
      <c r="M978" s="12" t="str">
        <f aca="false">IF(B978&lt;18,"0-17",IF(B978&lt;40,"18-39",IF(B978&lt;60,"40-59","60+")))</f>
        <v>60+</v>
      </c>
      <c r="N978" s="12" t="str">
        <f aca="false">IF(I978&lt;=1,"0-1 days",IF(I978&lt;=7,"2-7 days",IF(I978&lt;=30,"8-30 days","&gt;30 days")))</f>
        <v>8-30 days</v>
      </c>
    </row>
    <row r="979" customFormat="false" ht="15" hidden="false" customHeight="false" outlineLevel="0" collapsed="false">
      <c r="A979" s="12" t="s">
        <v>1220</v>
      </c>
      <c r="B979" s="12" t="n">
        <v>37</v>
      </c>
      <c r="C979" s="12" t="s">
        <v>34</v>
      </c>
      <c r="D979" s="12" t="s">
        <v>102</v>
      </c>
      <c r="E979" s="12" t="s">
        <v>200</v>
      </c>
      <c r="F979" s="12" t="s">
        <v>79</v>
      </c>
      <c r="G979" s="12" t="s">
        <v>80</v>
      </c>
      <c r="H979" s="12" t="s">
        <v>59</v>
      </c>
      <c r="I979" s="12" t="n">
        <v>4</v>
      </c>
      <c r="J979" s="12" t="s">
        <v>67</v>
      </c>
      <c r="K979" s="12" t="s">
        <v>48</v>
      </c>
      <c r="L979" s="12" t="str">
        <f aca="false">IF(OR(H979="Severe",H979="Life-Threatening"),"Yes","No")</f>
        <v>Yes</v>
      </c>
      <c r="M979" s="12" t="str">
        <f aca="false">IF(B979&lt;18,"0-17",IF(B979&lt;40,"18-39",IF(B979&lt;60,"40-59","60+")))</f>
        <v>18-39</v>
      </c>
      <c r="N979" s="12" t="str">
        <f aca="false">IF(I979&lt;=1,"0-1 days",IF(I979&lt;=7,"2-7 days",IF(I979&lt;=30,"8-30 days","&gt;30 days")))</f>
        <v>2-7 days</v>
      </c>
    </row>
    <row r="980" customFormat="false" ht="15" hidden="false" customHeight="false" outlineLevel="0" collapsed="false">
      <c r="A980" s="12" t="s">
        <v>1221</v>
      </c>
      <c r="B980" s="12" t="n">
        <v>63</v>
      </c>
      <c r="C980" s="12" t="s">
        <v>43</v>
      </c>
      <c r="D980" s="12" t="s">
        <v>668</v>
      </c>
      <c r="E980" s="12" t="s">
        <v>498</v>
      </c>
      <c r="F980" s="12" t="s">
        <v>93</v>
      </c>
      <c r="G980" s="12" t="s">
        <v>94</v>
      </c>
      <c r="H980" s="12" t="s">
        <v>46</v>
      </c>
      <c r="I980" s="12" t="n">
        <v>8</v>
      </c>
      <c r="J980" s="12" t="s">
        <v>40</v>
      </c>
      <c r="K980" s="12" t="s">
        <v>48</v>
      </c>
      <c r="L980" s="12" t="str">
        <f aca="false">IF(OR(H980="Severe",H980="Life-Threatening"),"Yes","No")</f>
        <v>No</v>
      </c>
      <c r="M980" s="12" t="str">
        <f aca="false">IF(B980&lt;18,"0-17",IF(B980&lt;40,"18-39",IF(B980&lt;60,"40-59","60+")))</f>
        <v>60+</v>
      </c>
      <c r="N980" s="12" t="str">
        <f aca="false">IF(I980&lt;=1,"0-1 days",IF(I980&lt;=7,"2-7 days",IF(I980&lt;=30,"8-30 days","&gt;30 days")))</f>
        <v>8-30 days</v>
      </c>
    </row>
    <row r="981" customFormat="false" ht="15" hidden="false" customHeight="false" outlineLevel="0" collapsed="false">
      <c r="A981" s="12" t="s">
        <v>1222</v>
      </c>
      <c r="B981" s="12" t="n">
        <v>34</v>
      </c>
      <c r="C981" s="12" t="s">
        <v>34</v>
      </c>
      <c r="D981" s="12" t="s">
        <v>85</v>
      </c>
      <c r="E981" s="12" t="s">
        <v>206</v>
      </c>
      <c r="F981" s="12" t="s">
        <v>62</v>
      </c>
      <c r="G981" s="12" t="s">
        <v>53</v>
      </c>
      <c r="H981" s="12" t="s">
        <v>76</v>
      </c>
      <c r="I981" s="12" t="n">
        <v>29</v>
      </c>
      <c r="J981" s="12" t="s">
        <v>40</v>
      </c>
      <c r="K981" s="12" t="s">
        <v>41</v>
      </c>
      <c r="L981" s="12" t="str">
        <f aca="false">IF(OR(H981="Severe",H981="Life-Threatening"),"Yes","No")</f>
        <v>Yes</v>
      </c>
      <c r="M981" s="12" t="str">
        <f aca="false">IF(B981&lt;18,"0-17",IF(B981&lt;40,"18-39",IF(B981&lt;60,"40-59","60+")))</f>
        <v>18-39</v>
      </c>
      <c r="N981" s="12" t="str">
        <f aca="false">IF(I981&lt;=1,"0-1 days",IF(I981&lt;=7,"2-7 days",IF(I981&lt;=30,"8-30 days","&gt;30 days")))</f>
        <v>8-30 days</v>
      </c>
    </row>
    <row r="982" customFormat="false" ht="15" hidden="false" customHeight="false" outlineLevel="0" collapsed="false">
      <c r="A982" s="12" t="s">
        <v>1223</v>
      </c>
      <c r="B982" s="12" t="n">
        <v>66</v>
      </c>
      <c r="C982" s="12" t="s">
        <v>34</v>
      </c>
      <c r="D982" s="12" t="s">
        <v>155</v>
      </c>
      <c r="E982" s="12" t="s">
        <v>307</v>
      </c>
      <c r="F982" s="12" t="s">
        <v>62</v>
      </c>
      <c r="G982" s="12" t="s">
        <v>53</v>
      </c>
      <c r="H982" s="12" t="s">
        <v>39</v>
      </c>
      <c r="I982" s="12" t="n">
        <v>27</v>
      </c>
      <c r="J982" s="12" t="s">
        <v>169</v>
      </c>
      <c r="K982" s="12" t="s">
        <v>48</v>
      </c>
      <c r="L982" s="12" t="str">
        <f aca="false">IF(OR(H982="Severe",H982="Life-Threatening"),"Yes","No")</f>
        <v>No</v>
      </c>
      <c r="M982" s="12" t="str">
        <f aca="false">IF(B982&lt;18,"0-17",IF(B982&lt;40,"18-39",IF(B982&lt;60,"40-59","60+")))</f>
        <v>60+</v>
      </c>
      <c r="N982" s="12" t="str">
        <f aca="false">IF(I982&lt;=1,"0-1 days",IF(I982&lt;=7,"2-7 days",IF(I982&lt;=30,"8-30 days","&gt;30 days")))</f>
        <v>8-30 days</v>
      </c>
    </row>
    <row r="983" customFormat="false" ht="15" hidden="false" customHeight="false" outlineLevel="0" collapsed="false">
      <c r="A983" s="12" t="s">
        <v>1224</v>
      </c>
      <c r="B983" s="12" t="n">
        <v>40</v>
      </c>
      <c r="C983" s="12" t="s">
        <v>34</v>
      </c>
      <c r="D983" s="12" t="s">
        <v>35</v>
      </c>
      <c r="E983" s="12" t="s">
        <v>118</v>
      </c>
      <c r="F983" s="12" t="s">
        <v>192</v>
      </c>
      <c r="G983" s="12" t="s">
        <v>53</v>
      </c>
      <c r="H983" s="12" t="s">
        <v>76</v>
      </c>
      <c r="I983" s="12" t="n">
        <v>16</v>
      </c>
      <c r="J983" s="12" t="s">
        <v>67</v>
      </c>
      <c r="K983" s="12" t="s">
        <v>48</v>
      </c>
      <c r="L983" s="12" t="str">
        <f aca="false">IF(OR(H983="Severe",H983="Life-Threatening"),"Yes","No")</f>
        <v>Yes</v>
      </c>
      <c r="M983" s="12" t="str">
        <f aca="false">IF(B983&lt;18,"0-17",IF(B983&lt;40,"18-39",IF(B983&lt;60,"40-59","60+")))</f>
        <v>40-59</v>
      </c>
      <c r="N983" s="12" t="str">
        <f aca="false">IF(I983&lt;=1,"0-1 days",IF(I983&lt;=7,"2-7 days",IF(I983&lt;=30,"8-30 days","&gt;30 days")))</f>
        <v>8-30 days</v>
      </c>
    </row>
    <row r="984" customFormat="false" ht="15" hidden="false" customHeight="false" outlineLevel="0" collapsed="false">
      <c r="A984" s="12" t="s">
        <v>1225</v>
      </c>
      <c r="B984" s="12" t="n">
        <v>51</v>
      </c>
      <c r="C984" s="12" t="s">
        <v>43</v>
      </c>
      <c r="D984" s="12" t="s">
        <v>211</v>
      </c>
      <c r="E984" s="12" t="s">
        <v>243</v>
      </c>
      <c r="F984" s="12" t="s">
        <v>348</v>
      </c>
      <c r="G984" s="12" t="s">
        <v>94</v>
      </c>
      <c r="H984" s="12" t="s">
        <v>39</v>
      </c>
      <c r="I984" s="12" t="n">
        <v>8</v>
      </c>
      <c r="J984" s="12" t="s">
        <v>40</v>
      </c>
      <c r="K984" s="12" t="s">
        <v>63</v>
      </c>
      <c r="L984" s="12" t="str">
        <f aca="false">IF(OR(H984="Severe",H984="Life-Threatening"),"Yes","No")</f>
        <v>No</v>
      </c>
      <c r="M984" s="12" t="str">
        <f aca="false">IF(B984&lt;18,"0-17",IF(B984&lt;40,"18-39",IF(B984&lt;60,"40-59","60+")))</f>
        <v>40-59</v>
      </c>
      <c r="N984" s="12" t="str">
        <f aca="false">IF(I984&lt;=1,"0-1 days",IF(I984&lt;=7,"2-7 days",IF(I984&lt;=30,"8-30 days","&gt;30 days")))</f>
        <v>8-30 days</v>
      </c>
    </row>
    <row r="985" customFormat="false" ht="15" hidden="false" customHeight="false" outlineLevel="0" collapsed="false">
      <c r="A985" s="12" t="s">
        <v>1226</v>
      </c>
      <c r="B985" s="12" t="n">
        <v>51</v>
      </c>
      <c r="C985" s="12" t="s">
        <v>34</v>
      </c>
      <c r="D985" s="12" t="s">
        <v>35</v>
      </c>
      <c r="E985" s="12" t="s">
        <v>243</v>
      </c>
      <c r="F985" s="12" t="s">
        <v>139</v>
      </c>
      <c r="G985" s="12" t="s">
        <v>38</v>
      </c>
      <c r="H985" s="12" t="s">
        <v>46</v>
      </c>
      <c r="I985" s="12" t="n">
        <v>14</v>
      </c>
      <c r="J985" s="12" t="s">
        <v>169</v>
      </c>
      <c r="K985" s="12" t="s">
        <v>48</v>
      </c>
      <c r="L985" s="12" t="str">
        <f aca="false">IF(OR(H985="Severe",H985="Life-Threatening"),"Yes","No")</f>
        <v>No</v>
      </c>
      <c r="M985" s="12" t="str">
        <f aca="false">IF(B985&lt;18,"0-17",IF(B985&lt;40,"18-39",IF(B985&lt;60,"40-59","60+")))</f>
        <v>40-59</v>
      </c>
      <c r="N985" s="12" t="str">
        <f aca="false">IF(I985&lt;=1,"0-1 days",IF(I985&lt;=7,"2-7 days",IF(I985&lt;=30,"8-30 days","&gt;30 days")))</f>
        <v>8-30 days</v>
      </c>
    </row>
    <row r="986" customFormat="false" ht="15" hidden="false" customHeight="false" outlineLevel="0" collapsed="false">
      <c r="A986" s="12" t="s">
        <v>1227</v>
      </c>
      <c r="B986" s="12" t="n">
        <v>33</v>
      </c>
      <c r="C986" s="12" t="s">
        <v>43</v>
      </c>
      <c r="D986" s="12" t="s">
        <v>35</v>
      </c>
      <c r="E986" s="12" t="s">
        <v>386</v>
      </c>
      <c r="F986" s="12" t="s">
        <v>114</v>
      </c>
      <c r="G986" s="12" t="s">
        <v>115</v>
      </c>
      <c r="H986" s="12" t="s">
        <v>59</v>
      </c>
      <c r="I986" s="12" t="n">
        <v>34</v>
      </c>
      <c r="J986" s="12" t="s">
        <v>40</v>
      </c>
      <c r="K986" s="12" t="s">
        <v>48</v>
      </c>
      <c r="L986" s="12" t="str">
        <f aca="false">IF(OR(H986="Severe",H986="Life-Threatening"),"Yes","No")</f>
        <v>Yes</v>
      </c>
      <c r="M986" s="12" t="str">
        <f aca="false">IF(B986&lt;18,"0-17",IF(B986&lt;40,"18-39",IF(B986&lt;60,"40-59","60+")))</f>
        <v>18-39</v>
      </c>
      <c r="N986" s="12" t="str">
        <f aca="false">IF(I986&lt;=1,"0-1 days",IF(I986&lt;=7,"2-7 days",IF(I986&lt;=30,"8-30 days","&gt;30 days")))</f>
        <v>&gt;30 days</v>
      </c>
    </row>
    <row r="987" customFormat="false" ht="15" hidden="false" customHeight="false" outlineLevel="0" collapsed="false">
      <c r="A987" s="12" t="s">
        <v>1228</v>
      </c>
      <c r="B987" s="12" t="n">
        <v>71</v>
      </c>
      <c r="C987" s="12" t="s">
        <v>43</v>
      </c>
      <c r="D987" s="12" t="s">
        <v>168</v>
      </c>
      <c r="E987" s="12" t="s">
        <v>239</v>
      </c>
      <c r="F987" s="12" t="s">
        <v>62</v>
      </c>
      <c r="G987" s="12" t="s">
        <v>53</v>
      </c>
      <c r="H987" s="12" t="s">
        <v>46</v>
      </c>
      <c r="I987" s="12" t="n">
        <v>17</v>
      </c>
      <c r="J987" s="12" t="s">
        <v>40</v>
      </c>
      <c r="K987" s="12" t="s">
        <v>147</v>
      </c>
      <c r="L987" s="12" t="str">
        <f aca="false">IF(OR(H987="Severe",H987="Life-Threatening"),"Yes","No")</f>
        <v>No</v>
      </c>
      <c r="M987" s="12" t="str">
        <f aca="false">IF(B987&lt;18,"0-17",IF(B987&lt;40,"18-39",IF(B987&lt;60,"40-59","60+")))</f>
        <v>60+</v>
      </c>
      <c r="N987" s="12" t="str">
        <f aca="false">IF(I987&lt;=1,"0-1 days",IF(I987&lt;=7,"2-7 days",IF(I987&lt;=30,"8-30 days","&gt;30 days")))</f>
        <v>8-30 days</v>
      </c>
    </row>
    <row r="988" customFormat="false" ht="15" hidden="false" customHeight="false" outlineLevel="0" collapsed="false">
      <c r="A988" s="12" t="s">
        <v>1229</v>
      </c>
      <c r="B988" s="12" t="n">
        <v>67</v>
      </c>
      <c r="C988" s="12" t="s">
        <v>43</v>
      </c>
      <c r="D988" s="12" t="s">
        <v>50</v>
      </c>
      <c r="E988" s="12" t="s">
        <v>256</v>
      </c>
      <c r="F988" s="12" t="s">
        <v>165</v>
      </c>
      <c r="G988" s="12" t="s">
        <v>53</v>
      </c>
      <c r="H988" s="12" t="s">
        <v>39</v>
      </c>
      <c r="I988" s="12" t="n">
        <v>23</v>
      </c>
      <c r="J988" s="12" t="s">
        <v>40</v>
      </c>
      <c r="K988" s="12" t="s">
        <v>48</v>
      </c>
      <c r="L988" s="12" t="str">
        <f aca="false">IF(OR(H988="Severe",H988="Life-Threatening"),"Yes","No")</f>
        <v>No</v>
      </c>
      <c r="M988" s="12" t="str">
        <f aca="false">IF(B988&lt;18,"0-17",IF(B988&lt;40,"18-39",IF(B988&lt;60,"40-59","60+")))</f>
        <v>60+</v>
      </c>
      <c r="N988" s="12" t="str">
        <f aca="false">IF(I988&lt;=1,"0-1 days",IF(I988&lt;=7,"2-7 days",IF(I988&lt;=30,"8-30 days","&gt;30 days")))</f>
        <v>8-30 days</v>
      </c>
    </row>
    <row r="989" customFormat="false" ht="15" hidden="false" customHeight="false" outlineLevel="0" collapsed="false">
      <c r="A989" s="12" t="s">
        <v>1230</v>
      </c>
      <c r="B989" s="12" t="n">
        <v>58</v>
      </c>
      <c r="C989" s="12" t="s">
        <v>43</v>
      </c>
      <c r="D989" s="12" t="s">
        <v>69</v>
      </c>
      <c r="E989" s="12" t="s">
        <v>65</v>
      </c>
      <c r="F989" s="12" t="s">
        <v>66</v>
      </c>
      <c r="G989" s="12" t="s">
        <v>38</v>
      </c>
      <c r="H989" s="12" t="s">
        <v>76</v>
      </c>
      <c r="I989" s="12" t="n">
        <v>19</v>
      </c>
      <c r="J989" s="12" t="s">
        <v>67</v>
      </c>
      <c r="K989" s="12" t="s">
        <v>63</v>
      </c>
      <c r="L989" s="12" t="str">
        <f aca="false">IF(OR(H989="Severe",H989="Life-Threatening"),"Yes","No")</f>
        <v>Yes</v>
      </c>
      <c r="M989" s="12" t="str">
        <f aca="false">IF(B989&lt;18,"0-17",IF(B989&lt;40,"18-39",IF(B989&lt;60,"40-59","60+")))</f>
        <v>40-59</v>
      </c>
      <c r="N989" s="12" t="str">
        <f aca="false">IF(I989&lt;=1,"0-1 days",IF(I989&lt;=7,"2-7 days",IF(I989&lt;=30,"8-30 days","&gt;30 days")))</f>
        <v>8-30 days</v>
      </c>
    </row>
    <row r="990" customFormat="false" ht="15" hidden="false" customHeight="false" outlineLevel="0" collapsed="false">
      <c r="A990" s="12" t="s">
        <v>1231</v>
      </c>
      <c r="B990" s="12" t="n">
        <v>44</v>
      </c>
      <c r="C990" s="12" t="s">
        <v>34</v>
      </c>
      <c r="D990" s="12" t="s">
        <v>55</v>
      </c>
      <c r="E990" s="12" t="s">
        <v>332</v>
      </c>
      <c r="F990" s="12" t="s">
        <v>333</v>
      </c>
      <c r="G990" s="12" t="s">
        <v>104</v>
      </c>
      <c r="H990" s="12" t="s">
        <v>39</v>
      </c>
      <c r="I990" s="12" t="n">
        <v>18</v>
      </c>
      <c r="J990" s="12" t="s">
        <v>47</v>
      </c>
      <c r="K990" s="12" t="s">
        <v>63</v>
      </c>
      <c r="L990" s="12" t="str">
        <f aca="false">IF(OR(H990="Severe",H990="Life-Threatening"),"Yes","No")</f>
        <v>No</v>
      </c>
      <c r="M990" s="12" t="str">
        <f aca="false">IF(B990&lt;18,"0-17",IF(B990&lt;40,"18-39",IF(B990&lt;60,"40-59","60+")))</f>
        <v>40-59</v>
      </c>
      <c r="N990" s="12" t="str">
        <f aca="false">IF(I990&lt;=1,"0-1 days",IF(I990&lt;=7,"2-7 days",IF(I990&lt;=30,"8-30 days","&gt;30 days")))</f>
        <v>8-30 days</v>
      </c>
    </row>
    <row r="991" customFormat="false" ht="15" hidden="false" customHeight="false" outlineLevel="0" collapsed="false">
      <c r="A991" s="12" t="s">
        <v>1232</v>
      </c>
      <c r="B991" s="12" t="n">
        <v>56</v>
      </c>
      <c r="C991" s="12" t="s">
        <v>34</v>
      </c>
      <c r="D991" s="12" t="s">
        <v>69</v>
      </c>
      <c r="E991" s="12" t="s">
        <v>332</v>
      </c>
      <c r="F991" s="12" t="s">
        <v>45</v>
      </c>
      <c r="G991" s="12" t="s">
        <v>38</v>
      </c>
      <c r="H991" s="12" t="s">
        <v>39</v>
      </c>
      <c r="I991" s="12" t="n">
        <v>24</v>
      </c>
      <c r="J991" s="12" t="s">
        <v>40</v>
      </c>
      <c r="K991" s="12" t="s">
        <v>41</v>
      </c>
      <c r="L991" s="12" t="str">
        <f aca="false">IF(OR(H991="Severe",H991="Life-Threatening"),"Yes","No")</f>
        <v>No</v>
      </c>
      <c r="M991" s="12" t="str">
        <f aca="false">IF(B991&lt;18,"0-17",IF(B991&lt;40,"18-39",IF(B991&lt;60,"40-59","60+")))</f>
        <v>40-59</v>
      </c>
      <c r="N991" s="12" t="str">
        <f aca="false">IF(I991&lt;=1,"0-1 days",IF(I991&lt;=7,"2-7 days",IF(I991&lt;=30,"8-30 days","&gt;30 days")))</f>
        <v>8-30 days</v>
      </c>
    </row>
    <row r="992" customFormat="false" ht="15" hidden="false" customHeight="false" outlineLevel="0" collapsed="false">
      <c r="A992" s="12" t="s">
        <v>1233</v>
      </c>
      <c r="B992" s="12" t="n">
        <v>70</v>
      </c>
      <c r="C992" s="12" t="s">
        <v>43</v>
      </c>
      <c r="D992" s="12" t="s">
        <v>668</v>
      </c>
      <c r="E992" s="12" t="s">
        <v>186</v>
      </c>
      <c r="F992" s="12" t="s">
        <v>131</v>
      </c>
      <c r="G992" s="12" t="s">
        <v>94</v>
      </c>
      <c r="H992" s="12" t="s">
        <v>76</v>
      </c>
      <c r="I992" s="12" t="n">
        <v>30</v>
      </c>
      <c r="J992" s="12" t="s">
        <v>105</v>
      </c>
      <c r="K992" s="12" t="s">
        <v>41</v>
      </c>
      <c r="L992" s="12" t="str">
        <f aca="false">IF(OR(H992="Severe",H992="Life-Threatening"),"Yes","No")</f>
        <v>Yes</v>
      </c>
      <c r="M992" s="12" t="str">
        <f aca="false">IF(B992&lt;18,"0-17",IF(B992&lt;40,"18-39",IF(B992&lt;60,"40-59","60+")))</f>
        <v>60+</v>
      </c>
      <c r="N992" s="12" t="str">
        <f aca="false">IF(I992&lt;=1,"0-1 days",IF(I992&lt;=7,"2-7 days",IF(I992&lt;=30,"8-30 days","&gt;30 days")))</f>
        <v>8-30 days</v>
      </c>
    </row>
    <row r="993" customFormat="false" ht="15" hidden="false" customHeight="false" outlineLevel="0" collapsed="false">
      <c r="A993" s="12" t="s">
        <v>1234</v>
      </c>
      <c r="B993" s="12" t="n">
        <v>72</v>
      </c>
      <c r="C993" s="12" t="s">
        <v>43</v>
      </c>
      <c r="D993" s="12" t="s">
        <v>55</v>
      </c>
      <c r="E993" s="12" t="s">
        <v>407</v>
      </c>
      <c r="F993" s="12" t="s">
        <v>176</v>
      </c>
      <c r="G993" s="12" t="s">
        <v>177</v>
      </c>
      <c r="H993" s="12" t="s">
        <v>76</v>
      </c>
      <c r="I993" s="12" t="n">
        <v>20</v>
      </c>
      <c r="J993" s="12" t="s">
        <v>40</v>
      </c>
      <c r="K993" s="12" t="s">
        <v>147</v>
      </c>
      <c r="L993" s="12" t="str">
        <f aca="false">IF(OR(H993="Severe",H993="Life-Threatening"),"Yes","No")</f>
        <v>Yes</v>
      </c>
      <c r="M993" s="12" t="str">
        <f aca="false">IF(B993&lt;18,"0-17",IF(B993&lt;40,"18-39",IF(B993&lt;60,"40-59","60+")))</f>
        <v>60+</v>
      </c>
      <c r="N993" s="12" t="str">
        <f aca="false">IF(I993&lt;=1,"0-1 days",IF(I993&lt;=7,"2-7 days",IF(I993&lt;=30,"8-30 days","&gt;30 days")))</f>
        <v>8-30 days</v>
      </c>
    </row>
    <row r="994" customFormat="false" ht="15" hidden="false" customHeight="false" outlineLevel="0" collapsed="false">
      <c r="A994" s="12" t="s">
        <v>1235</v>
      </c>
      <c r="B994" s="12" t="n">
        <v>74</v>
      </c>
      <c r="C994" s="12" t="s">
        <v>43</v>
      </c>
      <c r="D994" s="12" t="s">
        <v>202</v>
      </c>
      <c r="E994" s="12" t="s">
        <v>321</v>
      </c>
      <c r="F994" s="12" t="s">
        <v>322</v>
      </c>
      <c r="G994" s="12" t="s">
        <v>53</v>
      </c>
      <c r="H994" s="12" t="s">
        <v>59</v>
      </c>
      <c r="I994" s="12" t="n">
        <v>12</v>
      </c>
      <c r="J994" s="12" t="s">
        <v>40</v>
      </c>
      <c r="K994" s="12" t="s">
        <v>48</v>
      </c>
      <c r="L994" s="12" t="str">
        <f aca="false">IF(OR(H994="Severe",H994="Life-Threatening"),"Yes","No")</f>
        <v>Yes</v>
      </c>
      <c r="M994" s="12" t="str">
        <f aca="false">IF(B994&lt;18,"0-17",IF(B994&lt;40,"18-39",IF(B994&lt;60,"40-59","60+")))</f>
        <v>60+</v>
      </c>
      <c r="N994" s="12" t="str">
        <f aca="false">IF(I994&lt;=1,"0-1 days",IF(I994&lt;=7,"2-7 days",IF(I994&lt;=30,"8-30 days","&gt;30 days")))</f>
        <v>8-30 days</v>
      </c>
    </row>
    <row r="995" customFormat="false" ht="15" hidden="false" customHeight="false" outlineLevel="0" collapsed="false">
      <c r="A995" s="12" t="s">
        <v>1236</v>
      </c>
      <c r="B995" s="12" t="n">
        <v>40</v>
      </c>
      <c r="C995" s="12" t="s">
        <v>43</v>
      </c>
      <c r="D995" s="12" t="s">
        <v>123</v>
      </c>
      <c r="E995" s="12" t="s">
        <v>352</v>
      </c>
      <c r="F995" s="12" t="s">
        <v>325</v>
      </c>
      <c r="G995" s="12" t="s">
        <v>177</v>
      </c>
      <c r="H995" s="12" t="s">
        <v>39</v>
      </c>
      <c r="I995" s="12" t="n">
        <v>2</v>
      </c>
      <c r="J995" s="12" t="s">
        <v>40</v>
      </c>
      <c r="K995" s="12" t="s">
        <v>147</v>
      </c>
      <c r="L995" s="12" t="str">
        <f aca="false">IF(OR(H995="Severe",H995="Life-Threatening"),"Yes","No")</f>
        <v>No</v>
      </c>
      <c r="M995" s="12" t="str">
        <f aca="false">IF(B995&lt;18,"0-17",IF(B995&lt;40,"18-39",IF(B995&lt;60,"40-59","60+")))</f>
        <v>40-59</v>
      </c>
      <c r="N995" s="12" t="str">
        <f aca="false">IF(I995&lt;=1,"0-1 days",IF(I995&lt;=7,"2-7 days",IF(I995&lt;=30,"8-30 days","&gt;30 days")))</f>
        <v>2-7 days</v>
      </c>
    </row>
    <row r="996" customFormat="false" ht="15" hidden="false" customHeight="false" outlineLevel="0" collapsed="false">
      <c r="A996" s="12" t="s">
        <v>1237</v>
      </c>
      <c r="B996" s="12" t="n">
        <v>46</v>
      </c>
      <c r="C996" s="12" t="s">
        <v>34</v>
      </c>
      <c r="D996" s="12" t="s">
        <v>168</v>
      </c>
      <c r="E996" s="12" t="s">
        <v>243</v>
      </c>
      <c r="F996" s="12" t="s">
        <v>45</v>
      </c>
      <c r="G996" s="12" t="s">
        <v>38</v>
      </c>
      <c r="H996" s="12" t="s">
        <v>76</v>
      </c>
      <c r="I996" s="12" t="n">
        <v>1</v>
      </c>
      <c r="J996" s="12" t="s">
        <v>40</v>
      </c>
      <c r="K996" s="12" t="s">
        <v>48</v>
      </c>
      <c r="L996" s="12" t="str">
        <f aca="false">IF(OR(H996="Severe",H996="Life-Threatening"),"Yes","No")</f>
        <v>Yes</v>
      </c>
      <c r="M996" s="12" t="str">
        <f aca="false">IF(B996&lt;18,"0-17",IF(B996&lt;40,"18-39",IF(B996&lt;60,"40-59","60+")))</f>
        <v>40-59</v>
      </c>
      <c r="N996" s="12" t="str">
        <f aca="false">IF(I996&lt;=1,"0-1 days",IF(I996&lt;=7,"2-7 days",IF(I996&lt;=30,"8-30 days","&gt;30 days")))</f>
        <v>0-1 days</v>
      </c>
    </row>
    <row r="997" customFormat="false" ht="15" hidden="false" customHeight="false" outlineLevel="0" collapsed="false">
      <c r="A997" s="12" t="s">
        <v>1238</v>
      </c>
      <c r="B997" s="12" t="n">
        <v>50</v>
      </c>
      <c r="C997" s="12" t="s">
        <v>43</v>
      </c>
      <c r="D997" s="12" t="s">
        <v>35</v>
      </c>
      <c r="E997" s="12" t="s">
        <v>118</v>
      </c>
      <c r="F997" s="12" t="s">
        <v>45</v>
      </c>
      <c r="G997" s="12" t="s">
        <v>38</v>
      </c>
      <c r="H997" s="12" t="s">
        <v>46</v>
      </c>
      <c r="I997" s="12" t="n">
        <v>9</v>
      </c>
      <c r="J997" s="12" t="s">
        <v>40</v>
      </c>
      <c r="K997" s="12" t="s">
        <v>48</v>
      </c>
      <c r="L997" s="12" t="str">
        <f aca="false">IF(OR(H997="Severe",H997="Life-Threatening"),"Yes","No")</f>
        <v>No</v>
      </c>
      <c r="M997" s="12" t="str">
        <f aca="false">IF(B997&lt;18,"0-17",IF(B997&lt;40,"18-39",IF(B997&lt;60,"40-59","60+")))</f>
        <v>40-59</v>
      </c>
      <c r="N997" s="12" t="str">
        <f aca="false">IF(I997&lt;=1,"0-1 days",IF(I997&lt;=7,"2-7 days",IF(I997&lt;=30,"8-30 days","&gt;30 days")))</f>
        <v>8-30 days</v>
      </c>
    </row>
    <row r="998" customFormat="false" ht="15" hidden="false" customHeight="false" outlineLevel="0" collapsed="false">
      <c r="A998" s="12" t="s">
        <v>1239</v>
      </c>
      <c r="B998" s="12" t="n">
        <v>67</v>
      </c>
      <c r="C998" s="12" t="s">
        <v>34</v>
      </c>
      <c r="D998" s="12" t="s">
        <v>55</v>
      </c>
      <c r="E998" s="12" t="s">
        <v>307</v>
      </c>
      <c r="F998" s="12" t="s">
        <v>62</v>
      </c>
      <c r="G998" s="12" t="s">
        <v>53</v>
      </c>
      <c r="H998" s="12" t="s">
        <v>46</v>
      </c>
      <c r="I998" s="12" t="n">
        <v>22</v>
      </c>
      <c r="J998" s="12" t="s">
        <v>40</v>
      </c>
      <c r="K998" s="12" t="s">
        <v>48</v>
      </c>
      <c r="L998" s="12" t="str">
        <f aca="false">IF(OR(H998="Severe",H998="Life-Threatening"),"Yes","No")</f>
        <v>No</v>
      </c>
      <c r="M998" s="12" t="str">
        <f aca="false">IF(B998&lt;18,"0-17",IF(B998&lt;40,"18-39",IF(B998&lt;60,"40-59","60+")))</f>
        <v>60+</v>
      </c>
      <c r="N998" s="12" t="str">
        <f aca="false">IF(I998&lt;=1,"0-1 days",IF(I998&lt;=7,"2-7 days",IF(I998&lt;=30,"8-30 days","&gt;30 days")))</f>
        <v>8-30 days</v>
      </c>
    </row>
    <row r="999" customFormat="false" ht="15" hidden="false" customHeight="false" outlineLevel="0" collapsed="false">
      <c r="A999" s="12" t="s">
        <v>1240</v>
      </c>
      <c r="B999" s="12" t="n">
        <v>34</v>
      </c>
      <c r="C999" s="12" t="s">
        <v>43</v>
      </c>
      <c r="D999" s="12" t="s">
        <v>196</v>
      </c>
      <c r="E999" s="12" t="s">
        <v>227</v>
      </c>
      <c r="F999" s="12" t="s">
        <v>214</v>
      </c>
      <c r="G999" s="12" t="s">
        <v>115</v>
      </c>
      <c r="H999" s="12" t="s">
        <v>46</v>
      </c>
      <c r="I999" s="12" t="n">
        <v>19</v>
      </c>
      <c r="J999" s="12" t="s">
        <v>47</v>
      </c>
      <c r="K999" s="12" t="s">
        <v>63</v>
      </c>
      <c r="L999" s="12" t="str">
        <f aca="false">IF(OR(H999="Severe",H999="Life-Threatening"),"Yes","No")</f>
        <v>No</v>
      </c>
      <c r="M999" s="12" t="str">
        <f aca="false">IF(B999&lt;18,"0-17",IF(B999&lt;40,"18-39",IF(B999&lt;60,"40-59","60+")))</f>
        <v>18-39</v>
      </c>
      <c r="N999" s="12" t="str">
        <f aca="false">IF(I999&lt;=1,"0-1 days",IF(I999&lt;=7,"2-7 days",IF(I999&lt;=30,"8-30 days","&gt;30 days")))</f>
        <v>8-30 days</v>
      </c>
    </row>
    <row r="1000" customFormat="false" ht="15" hidden="false" customHeight="false" outlineLevel="0" collapsed="false">
      <c r="A1000" s="12" t="s">
        <v>1241</v>
      </c>
      <c r="B1000" s="12" t="n">
        <v>45</v>
      </c>
      <c r="C1000" s="12" t="s">
        <v>34</v>
      </c>
      <c r="D1000" s="12" t="s">
        <v>581</v>
      </c>
      <c r="E1000" s="12" t="s">
        <v>383</v>
      </c>
      <c r="F1000" s="12" t="s">
        <v>235</v>
      </c>
      <c r="G1000" s="12" t="s">
        <v>53</v>
      </c>
      <c r="H1000" s="12" t="s">
        <v>39</v>
      </c>
      <c r="I1000" s="12" t="n">
        <v>1</v>
      </c>
      <c r="J1000" s="12" t="s">
        <v>40</v>
      </c>
      <c r="K1000" s="12" t="s">
        <v>48</v>
      </c>
      <c r="L1000" s="12" t="str">
        <f aca="false">IF(OR(H1000="Severe",H1000="Life-Threatening"),"Yes","No")</f>
        <v>No</v>
      </c>
      <c r="M1000" s="12" t="str">
        <f aca="false">IF(B1000&lt;18,"0-17",IF(B1000&lt;40,"18-39",IF(B1000&lt;60,"40-59","60+")))</f>
        <v>40-59</v>
      </c>
      <c r="N1000" s="12" t="str">
        <f aca="false">IF(I1000&lt;=1,"0-1 days",IF(I1000&lt;=7,"2-7 days",IF(I1000&lt;=30,"8-30 days","&gt;30 days")))</f>
        <v>0-1 days</v>
      </c>
    </row>
    <row r="1001" customFormat="false" ht="15" hidden="false" customHeight="false" outlineLevel="0" collapsed="false">
      <c r="A1001" s="12" t="s">
        <v>1242</v>
      </c>
      <c r="B1001" s="12" t="n">
        <v>57</v>
      </c>
      <c r="C1001" s="12" t="s">
        <v>34</v>
      </c>
      <c r="D1001" s="12" t="s">
        <v>69</v>
      </c>
      <c r="E1001" s="12" t="s">
        <v>332</v>
      </c>
      <c r="F1001" s="12" t="s">
        <v>333</v>
      </c>
      <c r="G1001" s="12" t="s">
        <v>104</v>
      </c>
      <c r="H1001" s="12" t="s">
        <v>39</v>
      </c>
      <c r="I1001" s="12" t="n">
        <v>8</v>
      </c>
      <c r="J1001" s="12" t="s">
        <v>47</v>
      </c>
      <c r="K1001" s="12" t="s">
        <v>63</v>
      </c>
      <c r="L1001" s="12" t="str">
        <f aca="false">IF(OR(H1001="Severe",H1001="Life-Threatening"),"Yes","No")</f>
        <v>No</v>
      </c>
      <c r="M1001" s="12" t="str">
        <f aca="false">IF(B1001&lt;18,"0-17",IF(B1001&lt;40,"18-39",IF(B1001&lt;60,"40-59","60+")))</f>
        <v>40-59</v>
      </c>
      <c r="N1001" s="12" t="str">
        <f aca="false">IF(I1001&lt;=1,"0-1 days",IF(I1001&lt;=7,"2-7 days",IF(I1001&lt;=30,"8-30 days","&gt;30 days")))</f>
        <v>8-30 days</v>
      </c>
    </row>
    <row r="1002" customFormat="false" ht="15" hidden="false" customHeight="false" outlineLevel="0" collapsed="false">
      <c r="A1002" s="12" t="s">
        <v>1243</v>
      </c>
      <c r="B1002" s="12" t="n">
        <v>37</v>
      </c>
      <c r="C1002" s="12" t="s">
        <v>34</v>
      </c>
      <c r="D1002" s="12" t="s">
        <v>126</v>
      </c>
      <c r="E1002" s="12" t="s">
        <v>498</v>
      </c>
      <c r="F1002" s="12" t="s">
        <v>322</v>
      </c>
      <c r="G1002" s="12" t="s">
        <v>53</v>
      </c>
      <c r="H1002" s="12" t="s">
        <v>46</v>
      </c>
      <c r="I1002" s="12" t="n">
        <v>7</v>
      </c>
      <c r="J1002" s="12" t="s">
        <v>40</v>
      </c>
      <c r="K1002" s="12" t="s">
        <v>63</v>
      </c>
      <c r="L1002" s="12" t="str">
        <f aca="false">IF(OR(H1002="Severe",H1002="Life-Threatening"),"Yes","No")</f>
        <v>No</v>
      </c>
      <c r="M1002" s="12" t="str">
        <f aca="false">IF(B1002&lt;18,"0-17",IF(B1002&lt;40,"18-39",IF(B1002&lt;60,"40-59","60+")))</f>
        <v>18-39</v>
      </c>
      <c r="N1002" s="12" t="str">
        <f aca="false">IF(I1002&lt;=1,"0-1 days",IF(I1002&lt;=7,"2-7 days",IF(I1002&lt;=30,"8-30 days","&gt;30 days")))</f>
        <v>2-7 days</v>
      </c>
    </row>
    <row r="1003" customFormat="false" ht="15" hidden="false" customHeight="false" outlineLevel="0" collapsed="false">
      <c r="A1003" s="12" t="s">
        <v>1244</v>
      </c>
      <c r="B1003" s="12" t="n">
        <v>45</v>
      </c>
      <c r="C1003" s="12" t="s">
        <v>43</v>
      </c>
      <c r="D1003" s="12" t="s">
        <v>168</v>
      </c>
      <c r="E1003" s="12" t="s">
        <v>158</v>
      </c>
      <c r="F1003" s="12" t="s">
        <v>249</v>
      </c>
      <c r="G1003" s="12" t="s">
        <v>152</v>
      </c>
      <c r="H1003" s="12" t="s">
        <v>39</v>
      </c>
      <c r="I1003" s="12" t="n">
        <v>24</v>
      </c>
      <c r="J1003" s="12" t="s">
        <v>40</v>
      </c>
      <c r="K1003" s="12" t="s">
        <v>48</v>
      </c>
      <c r="L1003" s="12" t="str">
        <f aca="false">IF(OR(H1003="Severe",H1003="Life-Threatening"),"Yes","No")</f>
        <v>No</v>
      </c>
      <c r="M1003" s="12" t="str">
        <f aca="false">IF(B1003&lt;18,"0-17",IF(B1003&lt;40,"18-39",IF(B1003&lt;60,"40-59","60+")))</f>
        <v>40-59</v>
      </c>
      <c r="N1003" s="12" t="str">
        <f aca="false">IF(I1003&lt;=1,"0-1 days",IF(I1003&lt;=7,"2-7 days",IF(I1003&lt;=30,"8-30 days","&gt;30 days")))</f>
        <v>8-30 days</v>
      </c>
    </row>
    <row r="1004" customFormat="false" ht="15" hidden="false" customHeight="false" outlineLevel="0" collapsed="false">
      <c r="A1004" s="12" t="s">
        <v>1245</v>
      </c>
      <c r="B1004" s="12" t="n">
        <v>59</v>
      </c>
      <c r="C1004" s="12" t="s">
        <v>34</v>
      </c>
      <c r="D1004" s="12" t="s">
        <v>234</v>
      </c>
      <c r="E1004" s="12" t="s">
        <v>179</v>
      </c>
      <c r="F1004" s="12" t="s">
        <v>284</v>
      </c>
      <c r="G1004" s="12" t="s">
        <v>136</v>
      </c>
      <c r="H1004" s="12" t="s">
        <v>59</v>
      </c>
      <c r="I1004" s="12" t="n">
        <v>41</v>
      </c>
      <c r="J1004" s="12" t="s">
        <v>105</v>
      </c>
      <c r="K1004" s="12" t="s">
        <v>48</v>
      </c>
      <c r="L1004" s="12" t="str">
        <f aca="false">IF(OR(H1004="Severe",H1004="Life-Threatening"),"Yes","No")</f>
        <v>Yes</v>
      </c>
      <c r="M1004" s="12" t="str">
        <f aca="false">IF(B1004&lt;18,"0-17",IF(B1004&lt;40,"18-39",IF(B1004&lt;60,"40-59","60+")))</f>
        <v>40-59</v>
      </c>
      <c r="N1004" s="12" t="str">
        <f aca="false">IF(I1004&lt;=1,"0-1 days",IF(I1004&lt;=7,"2-7 days",IF(I1004&lt;=30,"8-30 days","&gt;30 days")))</f>
        <v>&gt;30 days</v>
      </c>
    </row>
    <row r="1005" customFormat="false" ht="15" hidden="false" customHeight="false" outlineLevel="0" collapsed="false">
      <c r="A1005" s="12" t="s">
        <v>1246</v>
      </c>
      <c r="B1005" s="12" t="n">
        <v>47</v>
      </c>
      <c r="C1005" s="12" t="s">
        <v>43</v>
      </c>
      <c r="D1005" s="12" t="s">
        <v>85</v>
      </c>
      <c r="E1005" s="12" t="s">
        <v>78</v>
      </c>
      <c r="F1005" s="12" t="s">
        <v>79</v>
      </c>
      <c r="G1005" s="12" t="s">
        <v>80</v>
      </c>
      <c r="H1005" s="12" t="s">
        <v>39</v>
      </c>
      <c r="I1005" s="12" t="n">
        <v>16</v>
      </c>
      <c r="J1005" s="12" t="s">
        <v>169</v>
      </c>
      <c r="K1005" s="12" t="s">
        <v>48</v>
      </c>
      <c r="L1005" s="12" t="str">
        <f aca="false">IF(OR(H1005="Severe",H1005="Life-Threatening"),"Yes","No")</f>
        <v>No</v>
      </c>
      <c r="M1005" s="12" t="str">
        <f aca="false">IF(B1005&lt;18,"0-17",IF(B1005&lt;40,"18-39",IF(B1005&lt;60,"40-59","60+")))</f>
        <v>40-59</v>
      </c>
      <c r="N1005" s="12" t="str">
        <f aca="false">IF(I1005&lt;=1,"0-1 days",IF(I1005&lt;=7,"2-7 days",IF(I1005&lt;=30,"8-30 days","&gt;30 days")))</f>
        <v>8-30 days</v>
      </c>
    </row>
    <row r="1006" customFormat="false" ht="15" hidden="false" customHeight="false" outlineLevel="0" collapsed="false">
      <c r="A1006" s="12" t="s">
        <v>1247</v>
      </c>
      <c r="B1006" s="12" t="n">
        <v>27</v>
      </c>
      <c r="C1006" s="12" t="s">
        <v>43</v>
      </c>
      <c r="D1006" s="12" t="s">
        <v>168</v>
      </c>
      <c r="E1006" s="12" t="s">
        <v>61</v>
      </c>
      <c r="F1006" s="12" t="s">
        <v>45</v>
      </c>
      <c r="G1006" s="12" t="s">
        <v>38</v>
      </c>
      <c r="H1006" s="12" t="s">
        <v>46</v>
      </c>
      <c r="I1006" s="12" t="n">
        <v>14</v>
      </c>
      <c r="J1006" s="12" t="s">
        <v>40</v>
      </c>
      <c r="K1006" s="12" t="s">
        <v>63</v>
      </c>
      <c r="L1006" s="12" t="str">
        <f aca="false">IF(OR(H1006="Severe",H1006="Life-Threatening"),"Yes","No")</f>
        <v>No</v>
      </c>
      <c r="M1006" s="12" t="str">
        <f aca="false">IF(B1006&lt;18,"0-17",IF(B1006&lt;40,"18-39",IF(B1006&lt;60,"40-59","60+")))</f>
        <v>18-39</v>
      </c>
      <c r="N1006" s="12" t="str">
        <f aca="false">IF(I1006&lt;=1,"0-1 days",IF(I1006&lt;=7,"2-7 days",IF(I1006&lt;=30,"8-30 days","&gt;30 days")))</f>
        <v>8-30 days</v>
      </c>
    </row>
    <row r="1007" customFormat="false" ht="15" hidden="false" customHeight="false" outlineLevel="0" collapsed="false">
      <c r="A1007" s="12" t="s">
        <v>1248</v>
      </c>
      <c r="B1007" s="12" t="n">
        <v>35</v>
      </c>
      <c r="C1007" s="12" t="s">
        <v>43</v>
      </c>
      <c r="D1007" s="12" t="s">
        <v>55</v>
      </c>
      <c r="E1007" s="12" t="s">
        <v>173</v>
      </c>
      <c r="F1007" s="12" t="s">
        <v>214</v>
      </c>
      <c r="G1007" s="12" t="s">
        <v>115</v>
      </c>
      <c r="H1007" s="12" t="s">
        <v>76</v>
      </c>
      <c r="I1007" s="12" t="n">
        <v>22</v>
      </c>
      <c r="J1007" s="12" t="s">
        <v>40</v>
      </c>
      <c r="K1007" s="12" t="s">
        <v>48</v>
      </c>
      <c r="L1007" s="12" t="str">
        <f aca="false">IF(OR(H1007="Severe",H1007="Life-Threatening"),"Yes","No")</f>
        <v>Yes</v>
      </c>
      <c r="M1007" s="12" t="str">
        <f aca="false">IF(B1007&lt;18,"0-17",IF(B1007&lt;40,"18-39",IF(B1007&lt;60,"40-59","60+")))</f>
        <v>18-39</v>
      </c>
      <c r="N1007" s="12" t="str">
        <f aca="false">IF(I1007&lt;=1,"0-1 days",IF(I1007&lt;=7,"2-7 days",IF(I1007&lt;=30,"8-30 days","&gt;30 days")))</f>
        <v>8-30 days</v>
      </c>
    </row>
    <row r="1008" customFormat="false" ht="15" hidden="false" customHeight="false" outlineLevel="0" collapsed="false">
      <c r="A1008" s="12" t="s">
        <v>1249</v>
      </c>
      <c r="B1008" s="12" t="n">
        <v>35</v>
      </c>
      <c r="C1008" s="12" t="s">
        <v>43</v>
      </c>
      <c r="D1008" s="12" t="s">
        <v>245</v>
      </c>
      <c r="E1008" s="12" t="s">
        <v>124</v>
      </c>
      <c r="F1008" s="12" t="s">
        <v>62</v>
      </c>
      <c r="G1008" s="12" t="s">
        <v>53</v>
      </c>
      <c r="H1008" s="12" t="s">
        <v>39</v>
      </c>
      <c r="I1008" s="12" t="n">
        <v>22</v>
      </c>
      <c r="J1008" s="12" t="s">
        <v>40</v>
      </c>
      <c r="K1008" s="12" t="s">
        <v>48</v>
      </c>
      <c r="L1008" s="12" t="str">
        <f aca="false">IF(OR(H1008="Severe",H1008="Life-Threatening"),"Yes","No")</f>
        <v>No</v>
      </c>
      <c r="M1008" s="12" t="str">
        <f aca="false">IF(B1008&lt;18,"0-17",IF(B1008&lt;40,"18-39",IF(B1008&lt;60,"40-59","60+")))</f>
        <v>18-39</v>
      </c>
      <c r="N1008" s="12" t="str">
        <f aca="false">IF(I1008&lt;=1,"0-1 days",IF(I1008&lt;=7,"2-7 days",IF(I1008&lt;=30,"8-30 days","&gt;30 days")))</f>
        <v>8-30 days</v>
      </c>
    </row>
    <row r="1009" customFormat="false" ht="15" hidden="false" customHeight="false" outlineLevel="0" collapsed="false">
      <c r="A1009" s="12" t="s">
        <v>1250</v>
      </c>
      <c r="B1009" s="12" t="n">
        <v>71</v>
      </c>
      <c r="C1009" s="12" t="s">
        <v>34</v>
      </c>
      <c r="D1009" s="12" t="s">
        <v>88</v>
      </c>
      <c r="E1009" s="12" t="s">
        <v>200</v>
      </c>
      <c r="F1009" s="12" t="s">
        <v>79</v>
      </c>
      <c r="G1009" s="12" t="s">
        <v>80</v>
      </c>
      <c r="H1009" s="12" t="s">
        <v>39</v>
      </c>
      <c r="I1009" s="12" t="n">
        <v>25</v>
      </c>
      <c r="J1009" s="12" t="s">
        <v>67</v>
      </c>
      <c r="K1009" s="12" t="s">
        <v>48</v>
      </c>
      <c r="L1009" s="12" t="str">
        <f aca="false">IF(OR(H1009="Severe",H1009="Life-Threatening"),"Yes","No")</f>
        <v>No</v>
      </c>
      <c r="M1009" s="12" t="str">
        <f aca="false">IF(B1009&lt;18,"0-17",IF(B1009&lt;40,"18-39",IF(B1009&lt;60,"40-59","60+")))</f>
        <v>60+</v>
      </c>
      <c r="N1009" s="12" t="str">
        <f aca="false">IF(I1009&lt;=1,"0-1 days",IF(I1009&lt;=7,"2-7 days",IF(I1009&lt;=30,"8-30 days","&gt;30 days")))</f>
        <v>8-30 days</v>
      </c>
    </row>
    <row r="1010" customFormat="false" ht="15" hidden="false" customHeight="false" outlineLevel="0" collapsed="false">
      <c r="A1010" s="12" t="s">
        <v>1251</v>
      </c>
      <c r="B1010" s="12" t="n">
        <v>32</v>
      </c>
      <c r="C1010" s="12" t="s">
        <v>34</v>
      </c>
      <c r="D1010" s="12" t="s">
        <v>85</v>
      </c>
      <c r="E1010" s="12" t="s">
        <v>179</v>
      </c>
      <c r="F1010" s="12" t="s">
        <v>325</v>
      </c>
      <c r="G1010" s="12" t="s">
        <v>177</v>
      </c>
      <c r="H1010" s="12" t="s">
        <v>59</v>
      </c>
      <c r="I1010" s="12" t="n">
        <v>27</v>
      </c>
      <c r="J1010" s="12" t="s">
        <v>105</v>
      </c>
      <c r="K1010" s="12" t="s">
        <v>48</v>
      </c>
      <c r="L1010" s="12" t="str">
        <f aca="false">IF(OR(H1010="Severe",H1010="Life-Threatening"),"Yes","No")</f>
        <v>Yes</v>
      </c>
      <c r="M1010" s="12" t="str">
        <f aca="false">IF(B1010&lt;18,"0-17",IF(B1010&lt;40,"18-39",IF(B1010&lt;60,"40-59","60+")))</f>
        <v>18-39</v>
      </c>
      <c r="N1010" s="12" t="str">
        <f aca="false">IF(I1010&lt;=1,"0-1 days",IF(I1010&lt;=7,"2-7 days",IF(I1010&lt;=30,"8-30 days","&gt;30 days")))</f>
        <v>8-30 days</v>
      </c>
    </row>
    <row r="1011" customFormat="false" ht="15" hidden="false" customHeight="false" outlineLevel="0" collapsed="false">
      <c r="A1011" s="12" t="s">
        <v>1252</v>
      </c>
      <c r="B1011" s="12" t="n">
        <v>37</v>
      </c>
      <c r="C1011" s="12" t="s">
        <v>34</v>
      </c>
      <c r="D1011" s="12" t="s">
        <v>35</v>
      </c>
      <c r="E1011" s="12" t="s">
        <v>266</v>
      </c>
      <c r="F1011" s="12" t="s">
        <v>214</v>
      </c>
      <c r="G1011" s="12" t="s">
        <v>115</v>
      </c>
      <c r="H1011" s="12" t="s">
        <v>76</v>
      </c>
      <c r="I1011" s="12" t="n">
        <v>10</v>
      </c>
      <c r="J1011" s="12" t="s">
        <v>47</v>
      </c>
      <c r="K1011" s="12" t="s">
        <v>48</v>
      </c>
      <c r="L1011" s="12" t="str">
        <f aca="false">IF(OR(H1011="Severe",H1011="Life-Threatening"),"Yes","No")</f>
        <v>Yes</v>
      </c>
      <c r="M1011" s="12" t="str">
        <f aca="false">IF(B1011&lt;18,"0-17",IF(B1011&lt;40,"18-39",IF(B1011&lt;60,"40-59","60+")))</f>
        <v>18-39</v>
      </c>
      <c r="N1011" s="12" t="str">
        <f aca="false">IF(I1011&lt;=1,"0-1 days",IF(I1011&lt;=7,"2-7 days",IF(I1011&lt;=30,"8-30 days","&gt;30 days")))</f>
        <v>8-30 days</v>
      </c>
    </row>
    <row r="1012" customFormat="false" ht="15" hidden="false" customHeight="false" outlineLevel="0" collapsed="false">
      <c r="A1012" s="12" t="s">
        <v>1253</v>
      </c>
      <c r="B1012" s="12" t="n">
        <v>68</v>
      </c>
      <c r="C1012" s="12" t="s">
        <v>34</v>
      </c>
      <c r="D1012" s="12" t="s">
        <v>55</v>
      </c>
      <c r="E1012" s="12" t="s">
        <v>311</v>
      </c>
      <c r="F1012" s="12" t="s">
        <v>37</v>
      </c>
      <c r="G1012" s="12" t="s">
        <v>38</v>
      </c>
      <c r="H1012" s="12" t="s">
        <v>39</v>
      </c>
      <c r="I1012" s="12" t="n">
        <v>14</v>
      </c>
      <c r="J1012" s="12" t="s">
        <v>47</v>
      </c>
      <c r="K1012" s="12" t="s">
        <v>63</v>
      </c>
      <c r="L1012" s="12" t="str">
        <f aca="false">IF(OR(H1012="Severe",H1012="Life-Threatening"),"Yes","No")</f>
        <v>No</v>
      </c>
      <c r="M1012" s="12" t="str">
        <f aca="false">IF(B1012&lt;18,"0-17",IF(B1012&lt;40,"18-39",IF(B1012&lt;60,"40-59","60+")))</f>
        <v>60+</v>
      </c>
      <c r="N1012" s="12" t="str">
        <f aca="false">IF(I1012&lt;=1,"0-1 days",IF(I1012&lt;=7,"2-7 days",IF(I1012&lt;=30,"8-30 days","&gt;30 days")))</f>
        <v>8-30 days</v>
      </c>
    </row>
    <row r="1013" customFormat="false" ht="15" hidden="false" customHeight="false" outlineLevel="0" collapsed="false">
      <c r="A1013" s="12" t="s">
        <v>1254</v>
      </c>
      <c r="B1013" s="12" t="n">
        <v>32</v>
      </c>
      <c r="C1013" s="12" t="s">
        <v>34</v>
      </c>
      <c r="D1013" s="12" t="s">
        <v>35</v>
      </c>
      <c r="E1013" s="12" t="s">
        <v>229</v>
      </c>
      <c r="F1013" s="12" t="s">
        <v>139</v>
      </c>
      <c r="G1013" s="12" t="s">
        <v>38</v>
      </c>
      <c r="H1013" s="12" t="s">
        <v>39</v>
      </c>
      <c r="I1013" s="12" t="n">
        <v>20</v>
      </c>
      <c r="J1013" s="12" t="s">
        <v>47</v>
      </c>
      <c r="K1013" s="12" t="s">
        <v>63</v>
      </c>
      <c r="L1013" s="12" t="str">
        <f aca="false">IF(OR(H1013="Severe",H1013="Life-Threatening"),"Yes","No")</f>
        <v>No</v>
      </c>
      <c r="M1013" s="12" t="str">
        <f aca="false">IF(B1013&lt;18,"0-17",IF(B1013&lt;40,"18-39",IF(B1013&lt;60,"40-59","60+")))</f>
        <v>18-39</v>
      </c>
      <c r="N1013" s="12" t="str">
        <f aca="false">IF(I1013&lt;=1,"0-1 days",IF(I1013&lt;=7,"2-7 days",IF(I1013&lt;=30,"8-30 days","&gt;30 days")))</f>
        <v>8-30 days</v>
      </c>
    </row>
    <row r="1014" customFormat="false" ht="15" hidden="false" customHeight="false" outlineLevel="0" collapsed="false">
      <c r="A1014" s="12" t="s">
        <v>1255</v>
      </c>
      <c r="B1014" s="12" t="n">
        <v>53</v>
      </c>
      <c r="C1014" s="12" t="s">
        <v>34</v>
      </c>
      <c r="D1014" s="12" t="s">
        <v>35</v>
      </c>
      <c r="E1014" s="12" t="s">
        <v>204</v>
      </c>
      <c r="F1014" s="12" t="s">
        <v>45</v>
      </c>
      <c r="G1014" s="12" t="s">
        <v>38</v>
      </c>
      <c r="H1014" s="12" t="s">
        <v>46</v>
      </c>
      <c r="I1014" s="12" t="n">
        <v>14</v>
      </c>
      <c r="J1014" s="12" t="s">
        <v>40</v>
      </c>
      <c r="K1014" s="12" t="s">
        <v>41</v>
      </c>
      <c r="L1014" s="12" t="str">
        <f aca="false">IF(OR(H1014="Severe",H1014="Life-Threatening"),"Yes","No")</f>
        <v>No</v>
      </c>
      <c r="M1014" s="12" t="str">
        <f aca="false">IF(B1014&lt;18,"0-17",IF(B1014&lt;40,"18-39",IF(B1014&lt;60,"40-59","60+")))</f>
        <v>40-59</v>
      </c>
      <c r="N1014" s="12" t="str">
        <f aca="false">IF(I1014&lt;=1,"0-1 days",IF(I1014&lt;=7,"2-7 days",IF(I1014&lt;=30,"8-30 days","&gt;30 days")))</f>
        <v>8-30 days</v>
      </c>
    </row>
    <row r="1015" customFormat="false" ht="15" hidden="false" customHeight="false" outlineLevel="0" collapsed="false">
      <c r="A1015" s="12" t="s">
        <v>1256</v>
      </c>
      <c r="B1015" s="12" t="n">
        <v>50</v>
      </c>
      <c r="C1015" s="12" t="s">
        <v>34</v>
      </c>
      <c r="D1015" s="12" t="s">
        <v>35</v>
      </c>
      <c r="E1015" s="12" t="s">
        <v>164</v>
      </c>
      <c r="F1015" s="12" t="s">
        <v>165</v>
      </c>
      <c r="G1015" s="12" t="s">
        <v>53</v>
      </c>
      <c r="H1015" s="12" t="s">
        <v>46</v>
      </c>
      <c r="I1015" s="12" t="n">
        <v>22</v>
      </c>
      <c r="J1015" s="12" t="s">
        <v>169</v>
      </c>
      <c r="K1015" s="12" t="s">
        <v>48</v>
      </c>
      <c r="L1015" s="12" t="str">
        <f aca="false">IF(OR(H1015="Severe",H1015="Life-Threatening"),"Yes","No")</f>
        <v>No</v>
      </c>
      <c r="M1015" s="12" t="str">
        <f aca="false">IF(B1015&lt;18,"0-17",IF(B1015&lt;40,"18-39",IF(B1015&lt;60,"40-59","60+")))</f>
        <v>40-59</v>
      </c>
      <c r="N1015" s="12" t="str">
        <f aca="false">IF(I1015&lt;=1,"0-1 days",IF(I1015&lt;=7,"2-7 days",IF(I1015&lt;=30,"8-30 days","&gt;30 days")))</f>
        <v>8-30 days</v>
      </c>
    </row>
    <row r="1016" customFormat="false" ht="15" hidden="false" customHeight="false" outlineLevel="0" collapsed="false">
      <c r="A1016" s="12" t="s">
        <v>1257</v>
      </c>
      <c r="B1016" s="12" t="n">
        <v>38</v>
      </c>
      <c r="C1016" s="12" t="s">
        <v>43</v>
      </c>
      <c r="D1016" s="12" t="s">
        <v>245</v>
      </c>
      <c r="E1016" s="12" t="s">
        <v>268</v>
      </c>
      <c r="F1016" s="12" t="s">
        <v>274</v>
      </c>
      <c r="G1016" s="12" t="s">
        <v>146</v>
      </c>
      <c r="H1016" s="12" t="s">
        <v>46</v>
      </c>
      <c r="I1016" s="12" t="n">
        <v>26</v>
      </c>
      <c r="J1016" s="12" t="s">
        <v>40</v>
      </c>
      <c r="K1016" s="12" t="s">
        <v>63</v>
      </c>
      <c r="L1016" s="12" t="str">
        <f aca="false">IF(OR(H1016="Severe",H1016="Life-Threatening"),"Yes","No")</f>
        <v>No</v>
      </c>
      <c r="M1016" s="12" t="str">
        <f aca="false">IF(B1016&lt;18,"0-17",IF(B1016&lt;40,"18-39",IF(B1016&lt;60,"40-59","60+")))</f>
        <v>18-39</v>
      </c>
      <c r="N1016" s="12" t="str">
        <f aca="false">IF(I1016&lt;=1,"0-1 days",IF(I1016&lt;=7,"2-7 days",IF(I1016&lt;=30,"8-30 days","&gt;30 days")))</f>
        <v>8-30 days</v>
      </c>
    </row>
    <row r="1017" customFormat="false" ht="15" hidden="false" customHeight="false" outlineLevel="0" collapsed="false">
      <c r="A1017" s="12" t="s">
        <v>1258</v>
      </c>
      <c r="B1017" s="12" t="n">
        <v>53</v>
      </c>
      <c r="C1017" s="12" t="s">
        <v>43</v>
      </c>
      <c r="D1017" s="12" t="s">
        <v>35</v>
      </c>
      <c r="E1017" s="12" t="s">
        <v>96</v>
      </c>
      <c r="F1017" s="12" t="s">
        <v>97</v>
      </c>
      <c r="G1017" s="12" t="s">
        <v>94</v>
      </c>
      <c r="H1017" s="12" t="s">
        <v>46</v>
      </c>
      <c r="I1017" s="12" t="n">
        <v>1</v>
      </c>
      <c r="J1017" s="12" t="s">
        <v>40</v>
      </c>
      <c r="K1017" s="12" t="s">
        <v>63</v>
      </c>
      <c r="L1017" s="12" t="str">
        <f aca="false">IF(OR(H1017="Severe",H1017="Life-Threatening"),"Yes","No")</f>
        <v>No</v>
      </c>
      <c r="M1017" s="12" t="str">
        <f aca="false">IF(B1017&lt;18,"0-17",IF(B1017&lt;40,"18-39",IF(B1017&lt;60,"40-59","60+")))</f>
        <v>40-59</v>
      </c>
      <c r="N1017" s="12" t="str">
        <f aca="false">IF(I1017&lt;=1,"0-1 days",IF(I1017&lt;=7,"2-7 days",IF(I1017&lt;=30,"8-30 days","&gt;30 days")))</f>
        <v>0-1 days</v>
      </c>
    </row>
    <row r="1018" customFormat="false" ht="15" hidden="false" customHeight="false" outlineLevel="0" collapsed="false">
      <c r="A1018" s="12" t="s">
        <v>1259</v>
      </c>
      <c r="B1018" s="12" t="n">
        <v>16</v>
      </c>
      <c r="C1018" s="12" t="s">
        <v>34</v>
      </c>
      <c r="D1018" s="12" t="s">
        <v>35</v>
      </c>
      <c r="E1018" s="12" t="s">
        <v>256</v>
      </c>
      <c r="F1018" s="12" t="s">
        <v>257</v>
      </c>
      <c r="G1018" s="12" t="s">
        <v>80</v>
      </c>
      <c r="H1018" s="12" t="s">
        <v>59</v>
      </c>
      <c r="I1018" s="12" t="n">
        <v>21</v>
      </c>
      <c r="J1018" s="12" t="s">
        <v>105</v>
      </c>
      <c r="K1018" s="12" t="s">
        <v>147</v>
      </c>
      <c r="L1018" s="12" t="str">
        <f aca="false">IF(OR(H1018="Severe",H1018="Life-Threatening"),"Yes","No")</f>
        <v>Yes</v>
      </c>
      <c r="M1018" s="12" t="str">
        <f aca="false">IF(B1018&lt;18,"0-17",IF(B1018&lt;40,"18-39",IF(B1018&lt;60,"40-59","60+")))</f>
        <v>0-17</v>
      </c>
      <c r="N1018" s="12" t="str">
        <f aca="false">IF(I1018&lt;=1,"0-1 days",IF(I1018&lt;=7,"2-7 days",IF(I1018&lt;=30,"8-30 days","&gt;30 days")))</f>
        <v>8-30 days</v>
      </c>
    </row>
    <row r="1019" customFormat="false" ht="15" hidden="false" customHeight="false" outlineLevel="0" collapsed="false">
      <c r="A1019" s="12" t="s">
        <v>1260</v>
      </c>
      <c r="B1019" s="12" t="n">
        <v>35</v>
      </c>
      <c r="C1019" s="12" t="s">
        <v>43</v>
      </c>
      <c r="D1019" s="12" t="s">
        <v>120</v>
      </c>
      <c r="E1019" s="12" t="s">
        <v>150</v>
      </c>
      <c r="F1019" s="12" t="s">
        <v>221</v>
      </c>
      <c r="G1019" s="12" t="s">
        <v>94</v>
      </c>
      <c r="H1019" s="12" t="s">
        <v>59</v>
      </c>
      <c r="I1019" s="12" t="n">
        <v>0</v>
      </c>
      <c r="J1019" s="12" t="s">
        <v>105</v>
      </c>
      <c r="K1019" s="12" t="s">
        <v>48</v>
      </c>
      <c r="L1019" s="12" t="str">
        <f aca="false">IF(OR(H1019="Severe",H1019="Life-Threatening"),"Yes","No")</f>
        <v>Yes</v>
      </c>
      <c r="M1019" s="12" t="str">
        <f aca="false">IF(B1019&lt;18,"0-17",IF(B1019&lt;40,"18-39",IF(B1019&lt;60,"40-59","60+")))</f>
        <v>18-39</v>
      </c>
      <c r="N1019" s="12" t="str">
        <f aca="false">IF(I1019&lt;=1,"0-1 days",IF(I1019&lt;=7,"2-7 days",IF(I1019&lt;=30,"8-30 days","&gt;30 days")))</f>
        <v>0-1 days</v>
      </c>
    </row>
    <row r="1020" customFormat="false" ht="15" hidden="false" customHeight="false" outlineLevel="0" collapsed="false">
      <c r="A1020" s="12" t="s">
        <v>1261</v>
      </c>
      <c r="B1020" s="12" t="n">
        <v>1</v>
      </c>
      <c r="C1020" s="12" t="s">
        <v>34</v>
      </c>
      <c r="D1020" s="12" t="s">
        <v>35</v>
      </c>
      <c r="E1020" s="12" t="s">
        <v>96</v>
      </c>
      <c r="F1020" s="12" t="s">
        <v>97</v>
      </c>
      <c r="G1020" s="12" t="s">
        <v>94</v>
      </c>
      <c r="H1020" s="12" t="s">
        <v>76</v>
      </c>
      <c r="I1020" s="12" t="n">
        <v>23</v>
      </c>
      <c r="J1020" s="12" t="s">
        <v>47</v>
      </c>
      <c r="K1020" s="12" t="s">
        <v>41</v>
      </c>
      <c r="L1020" s="12" t="str">
        <f aca="false">IF(OR(H1020="Severe",H1020="Life-Threatening"),"Yes","No")</f>
        <v>Yes</v>
      </c>
      <c r="M1020" s="12" t="str">
        <f aca="false">IF(B1020&lt;18,"0-17",IF(B1020&lt;40,"18-39",IF(B1020&lt;60,"40-59","60+")))</f>
        <v>0-17</v>
      </c>
      <c r="N1020" s="12" t="str">
        <f aca="false">IF(I1020&lt;=1,"0-1 days",IF(I1020&lt;=7,"2-7 days",IF(I1020&lt;=30,"8-30 days","&gt;30 days")))</f>
        <v>8-30 days</v>
      </c>
    </row>
    <row r="1021" customFormat="false" ht="15" hidden="false" customHeight="false" outlineLevel="0" collapsed="false">
      <c r="A1021" s="12" t="s">
        <v>1262</v>
      </c>
      <c r="B1021" s="12" t="n">
        <v>64</v>
      </c>
      <c r="C1021" s="12" t="s">
        <v>43</v>
      </c>
      <c r="D1021" s="12" t="s">
        <v>144</v>
      </c>
      <c r="E1021" s="12" t="s">
        <v>398</v>
      </c>
      <c r="F1021" s="12" t="s">
        <v>364</v>
      </c>
      <c r="G1021" s="12" t="s">
        <v>38</v>
      </c>
      <c r="H1021" s="12" t="s">
        <v>59</v>
      </c>
      <c r="I1021" s="12" t="n">
        <v>5</v>
      </c>
      <c r="J1021" s="12" t="s">
        <v>47</v>
      </c>
      <c r="K1021" s="12" t="s">
        <v>41</v>
      </c>
      <c r="L1021" s="12" t="str">
        <f aca="false">IF(OR(H1021="Severe",H1021="Life-Threatening"),"Yes","No")</f>
        <v>Yes</v>
      </c>
      <c r="M1021" s="12" t="str">
        <f aca="false">IF(B1021&lt;18,"0-17",IF(B1021&lt;40,"18-39",IF(B1021&lt;60,"40-59","60+")))</f>
        <v>60+</v>
      </c>
      <c r="N1021" s="12" t="str">
        <f aca="false">IF(I1021&lt;=1,"0-1 days",IF(I1021&lt;=7,"2-7 days",IF(I1021&lt;=30,"8-30 days","&gt;30 days")))</f>
        <v>2-7 days</v>
      </c>
    </row>
    <row r="1022" customFormat="false" ht="15" hidden="false" customHeight="false" outlineLevel="0" collapsed="false">
      <c r="A1022" s="12" t="s">
        <v>1263</v>
      </c>
      <c r="B1022" s="12" t="n">
        <v>60</v>
      </c>
      <c r="C1022" s="12" t="s">
        <v>34</v>
      </c>
      <c r="D1022" s="12" t="s">
        <v>155</v>
      </c>
      <c r="E1022" s="12" t="s">
        <v>304</v>
      </c>
      <c r="F1022" s="12" t="s">
        <v>305</v>
      </c>
      <c r="G1022" s="12" t="s">
        <v>177</v>
      </c>
      <c r="H1022" s="12" t="s">
        <v>46</v>
      </c>
      <c r="I1022" s="12" t="n">
        <v>18</v>
      </c>
      <c r="J1022" s="12" t="s">
        <v>47</v>
      </c>
      <c r="K1022" s="12" t="s">
        <v>63</v>
      </c>
      <c r="L1022" s="12" t="str">
        <f aca="false">IF(OR(H1022="Severe",H1022="Life-Threatening"),"Yes","No")</f>
        <v>No</v>
      </c>
      <c r="M1022" s="12" t="str">
        <f aca="false">IF(B1022&lt;18,"0-17",IF(B1022&lt;40,"18-39",IF(B1022&lt;60,"40-59","60+")))</f>
        <v>60+</v>
      </c>
      <c r="N1022" s="12" t="str">
        <f aca="false">IF(I1022&lt;=1,"0-1 days",IF(I1022&lt;=7,"2-7 days",IF(I1022&lt;=30,"8-30 days","&gt;30 days")))</f>
        <v>8-30 days</v>
      </c>
    </row>
    <row r="1023" customFormat="false" ht="15" hidden="false" customHeight="false" outlineLevel="0" collapsed="false">
      <c r="A1023" s="12" t="s">
        <v>1264</v>
      </c>
      <c r="B1023" s="12" t="n">
        <v>93</v>
      </c>
      <c r="C1023" s="12" t="s">
        <v>34</v>
      </c>
      <c r="D1023" s="12" t="s">
        <v>85</v>
      </c>
      <c r="E1023" s="12" t="s">
        <v>352</v>
      </c>
      <c r="F1023" s="12" t="s">
        <v>325</v>
      </c>
      <c r="G1023" s="12" t="s">
        <v>177</v>
      </c>
      <c r="H1023" s="12" t="s">
        <v>59</v>
      </c>
      <c r="I1023" s="12" t="n">
        <v>21</v>
      </c>
      <c r="J1023" s="12" t="s">
        <v>47</v>
      </c>
      <c r="K1023" s="12" t="s">
        <v>63</v>
      </c>
      <c r="L1023" s="12" t="str">
        <f aca="false">IF(OR(H1023="Severe",H1023="Life-Threatening"),"Yes","No")</f>
        <v>Yes</v>
      </c>
      <c r="M1023" s="12" t="str">
        <f aca="false">IF(B1023&lt;18,"0-17",IF(B1023&lt;40,"18-39",IF(B1023&lt;60,"40-59","60+")))</f>
        <v>60+</v>
      </c>
      <c r="N1023" s="12" t="str">
        <f aca="false">IF(I1023&lt;=1,"0-1 days",IF(I1023&lt;=7,"2-7 days",IF(I1023&lt;=30,"8-30 days","&gt;30 days")))</f>
        <v>8-30 days</v>
      </c>
    </row>
    <row r="1024" customFormat="false" ht="15" hidden="false" customHeight="false" outlineLevel="0" collapsed="false">
      <c r="A1024" s="12" t="s">
        <v>1265</v>
      </c>
      <c r="B1024" s="12" t="n">
        <v>60</v>
      </c>
      <c r="C1024" s="12" t="s">
        <v>43</v>
      </c>
      <c r="D1024" s="12" t="s">
        <v>99</v>
      </c>
      <c r="E1024" s="12" t="s">
        <v>241</v>
      </c>
      <c r="F1024" s="12" t="s">
        <v>135</v>
      </c>
      <c r="G1024" s="12" t="s">
        <v>136</v>
      </c>
      <c r="H1024" s="12" t="s">
        <v>39</v>
      </c>
      <c r="I1024" s="12" t="n">
        <v>17</v>
      </c>
      <c r="J1024" s="12" t="s">
        <v>40</v>
      </c>
      <c r="K1024" s="12" t="s">
        <v>48</v>
      </c>
      <c r="L1024" s="12" t="str">
        <f aca="false">IF(OR(H1024="Severe",H1024="Life-Threatening"),"Yes","No")</f>
        <v>No</v>
      </c>
      <c r="M1024" s="12" t="str">
        <f aca="false">IF(B1024&lt;18,"0-17",IF(B1024&lt;40,"18-39",IF(B1024&lt;60,"40-59","60+")))</f>
        <v>60+</v>
      </c>
      <c r="N1024" s="12" t="str">
        <f aca="false">IF(I1024&lt;=1,"0-1 days",IF(I1024&lt;=7,"2-7 days",IF(I1024&lt;=30,"8-30 days","&gt;30 days")))</f>
        <v>8-30 days</v>
      </c>
    </row>
    <row r="1025" customFormat="false" ht="15" hidden="false" customHeight="false" outlineLevel="0" collapsed="false">
      <c r="A1025" s="12" t="s">
        <v>1266</v>
      </c>
      <c r="B1025" s="12" t="n">
        <v>65</v>
      </c>
      <c r="C1025" s="12" t="s">
        <v>34</v>
      </c>
      <c r="D1025" s="12" t="s">
        <v>234</v>
      </c>
      <c r="E1025" s="12" t="s">
        <v>150</v>
      </c>
      <c r="F1025" s="12" t="s">
        <v>221</v>
      </c>
      <c r="G1025" s="12" t="s">
        <v>94</v>
      </c>
      <c r="H1025" s="12" t="s">
        <v>39</v>
      </c>
      <c r="I1025" s="12" t="n">
        <v>1</v>
      </c>
      <c r="J1025" s="12" t="s">
        <v>169</v>
      </c>
      <c r="K1025" s="12" t="s">
        <v>48</v>
      </c>
      <c r="L1025" s="12" t="str">
        <f aca="false">IF(OR(H1025="Severe",H1025="Life-Threatening"),"Yes","No")</f>
        <v>No</v>
      </c>
      <c r="M1025" s="12" t="str">
        <f aca="false">IF(B1025&lt;18,"0-17",IF(B1025&lt;40,"18-39",IF(B1025&lt;60,"40-59","60+")))</f>
        <v>60+</v>
      </c>
      <c r="N1025" s="12" t="str">
        <f aca="false">IF(I1025&lt;=1,"0-1 days",IF(I1025&lt;=7,"2-7 days",IF(I1025&lt;=30,"8-30 days","&gt;30 days")))</f>
        <v>0-1 days</v>
      </c>
    </row>
    <row r="1026" customFormat="false" ht="15" hidden="false" customHeight="false" outlineLevel="0" collapsed="false">
      <c r="A1026" s="12" t="s">
        <v>1267</v>
      </c>
      <c r="B1026" s="12" t="n">
        <v>53</v>
      </c>
      <c r="C1026" s="12" t="s">
        <v>34</v>
      </c>
      <c r="D1026" s="12" t="s">
        <v>155</v>
      </c>
      <c r="E1026" s="12" t="s">
        <v>156</v>
      </c>
      <c r="F1026" s="12" t="s">
        <v>93</v>
      </c>
      <c r="G1026" s="12" t="s">
        <v>94</v>
      </c>
      <c r="H1026" s="12" t="s">
        <v>76</v>
      </c>
      <c r="I1026" s="12" t="n">
        <v>44</v>
      </c>
      <c r="J1026" s="12" t="s">
        <v>40</v>
      </c>
      <c r="K1026" s="12" t="s">
        <v>48</v>
      </c>
      <c r="L1026" s="12" t="str">
        <f aca="false">IF(OR(H1026="Severe",H1026="Life-Threatening"),"Yes","No")</f>
        <v>Yes</v>
      </c>
      <c r="M1026" s="12" t="str">
        <f aca="false">IF(B1026&lt;18,"0-17",IF(B1026&lt;40,"18-39",IF(B1026&lt;60,"40-59","60+")))</f>
        <v>40-59</v>
      </c>
      <c r="N1026" s="12" t="str">
        <f aca="false">IF(I1026&lt;=1,"0-1 days",IF(I1026&lt;=7,"2-7 days",IF(I1026&lt;=30,"8-30 days","&gt;30 days")))</f>
        <v>&gt;30 days</v>
      </c>
    </row>
    <row r="1027" customFormat="false" ht="15" hidden="false" customHeight="false" outlineLevel="0" collapsed="false">
      <c r="A1027" s="12" t="s">
        <v>1268</v>
      </c>
      <c r="B1027" s="12" t="n">
        <v>64</v>
      </c>
      <c r="C1027" s="12" t="s">
        <v>43</v>
      </c>
      <c r="D1027" s="12" t="s">
        <v>155</v>
      </c>
      <c r="E1027" s="12" t="s">
        <v>311</v>
      </c>
      <c r="F1027" s="12" t="s">
        <v>37</v>
      </c>
      <c r="G1027" s="12" t="s">
        <v>38</v>
      </c>
      <c r="H1027" s="12" t="s">
        <v>46</v>
      </c>
      <c r="I1027" s="12" t="n">
        <v>16</v>
      </c>
      <c r="J1027" s="12" t="s">
        <v>40</v>
      </c>
      <c r="K1027" s="12" t="s">
        <v>48</v>
      </c>
      <c r="L1027" s="12" t="str">
        <f aca="false">IF(OR(H1027="Severe",H1027="Life-Threatening"),"Yes","No")</f>
        <v>No</v>
      </c>
      <c r="M1027" s="12" t="str">
        <f aca="false">IF(B1027&lt;18,"0-17",IF(B1027&lt;40,"18-39",IF(B1027&lt;60,"40-59","60+")))</f>
        <v>60+</v>
      </c>
      <c r="N1027" s="12" t="str">
        <f aca="false">IF(I1027&lt;=1,"0-1 days",IF(I1027&lt;=7,"2-7 days",IF(I1027&lt;=30,"8-30 days","&gt;30 days")))</f>
        <v>8-30 days</v>
      </c>
    </row>
    <row r="1028" customFormat="false" ht="15" hidden="false" customHeight="false" outlineLevel="0" collapsed="false">
      <c r="A1028" s="12" t="s">
        <v>1269</v>
      </c>
      <c r="B1028" s="12" t="n">
        <v>37</v>
      </c>
      <c r="C1028" s="12" t="s">
        <v>43</v>
      </c>
      <c r="D1028" s="12" t="s">
        <v>35</v>
      </c>
      <c r="E1028" s="12" t="s">
        <v>253</v>
      </c>
      <c r="F1028" s="12" t="s">
        <v>135</v>
      </c>
      <c r="G1028" s="12" t="s">
        <v>136</v>
      </c>
      <c r="H1028" s="12" t="s">
        <v>46</v>
      </c>
      <c r="I1028" s="12" t="n">
        <v>26</v>
      </c>
      <c r="J1028" s="12" t="s">
        <v>40</v>
      </c>
      <c r="K1028" s="12" t="s">
        <v>48</v>
      </c>
      <c r="L1028" s="12" t="str">
        <f aca="false">IF(OR(H1028="Severe",H1028="Life-Threatening"),"Yes","No")</f>
        <v>No</v>
      </c>
      <c r="M1028" s="12" t="str">
        <f aca="false">IF(B1028&lt;18,"0-17",IF(B1028&lt;40,"18-39",IF(B1028&lt;60,"40-59","60+")))</f>
        <v>18-39</v>
      </c>
      <c r="N1028" s="12" t="str">
        <f aca="false">IF(I1028&lt;=1,"0-1 days",IF(I1028&lt;=7,"2-7 days",IF(I1028&lt;=30,"8-30 days","&gt;30 days")))</f>
        <v>8-30 days</v>
      </c>
    </row>
    <row r="1029" customFormat="false" ht="15" hidden="false" customHeight="false" outlineLevel="0" collapsed="false">
      <c r="A1029" s="12" t="s">
        <v>1270</v>
      </c>
      <c r="B1029" s="12" t="n">
        <v>35</v>
      </c>
      <c r="C1029" s="12" t="s">
        <v>43</v>
      </c>
      <c r="D1029" s="12" t="s">
        <v>211</v>
      </c>
      <c r="E1029" s="12" t="s">
        <v>243</v>
      </c>
      <c r="F1029" s="12" t="s">
        <v>348</v>
      </c>
      <c r="G1029" s="12" t="s">
        <v>94</v>
      </c>
      <c r="H1029" s="12" t="s">
        <v>39</v>
      </c>
      <c r="I1029" s="12" t="n">
        <v>9</v>
      </c>
      <c r="J1029" s="12" t="s">
        <v>47</v>
      </c>
      <c r="K1029" s="12" t="s">
        <v>63</v>
      </c>
      <c r="L1029" s="12" t="str">
        <f aca="false">IF(OR(H1029="Severe",H1029="Life-Threatening"),"Yes","No")</f>
        <v>No</v>
      </c>
      <c r="M1029" s="12" t="str">
        <f aca="false">IF(B1029&lt;18,"0-17",IF(B1029&lt;40,"18-39",IF(B1029&lt;60,"40-59","60+")))</f>
        <v>18-39</v>
      </c>
      <c r="N1029" s="12" t="str">
        <f aca="false">IF(I1029&lt;=1,"0-1 days",IF(I1029&lt;=7,"2-7 days",IF(I1029&lt;=30,"8-30 days","&gt;30 days")))</f>
        <v>8-30 days</v>
      </c>
    </row>
    <row r="1030" customFormat="false" ht="15" hidden="false" customHeight="false" outlineLevel="0" collapsed="false">
      <c r="A1030" s="12" t="s">
        <v>1271</v>
      </c>
      <c r="B1030" s="12" t="n">
        <v>77</v>
      </c>
      <c r="C1030" s="12" t="s">
        <v>34</v>
      </c>
      <c r="D1030" s="12" t="s">
        <v>155</v>
      </c>
      <c r="E1030" s="12" t="s">
        <v>179</v>
      </c>
      <c r="F1030" s="12" t="s">
        <v>45</v>
      </c>
      <c r="G1030" s="12" t="s">
        <v>38</v>
      </c>
      <c r="H1030" s="12" t="s">
        <v>46</v>
      </c>
      <c r="I1030" s="12" t="n">
        <v>8</v>
      </c>
      <c r="J1030" s="12" t="s">
        <v>40</v>
      </c>
      <c r="K1030" s="12" t="s">
        <v>63</v>
      </c>
      <c r="L1030" s="12" t="str">
        <f aca="false">IF(OR(H1030="Severe",H1030="Life-Threatening"),"Yes","No")</f>
        <v>No</v>
      </c>
      <c r="M1030" s="12" t="str">
        <f aca="false">IF(B1030&lt;18,"0-17",IF(B1030&lt;40,"18-39",IF(B1030&lt;60,"40-59","60+")))</f>
        <v>60+</v>
      </c>
      <c r="N1030" s="12" t="str">
        <f aca="false">IF(I1030&lt;=1,"0-1 days",IF(I1030&lt;=7,"2-7 days",IF(I1030&lt;=30,"8-30 days","&gt;30 days")))</f>
        <v>8-30 days</v>
      </c>
    </row>
    <row r="1031" customFormat="false" ht="15" hidden="false" customHeight="false" outlineLevel="0" collapsed="false">
      <c r="A1031" s="12" t="s">
        <v>1272</v>
      </c>
      <c r="B1031" s="12" t="n">
        <v>29</v>
      </c>
      <c r="C1031" s="12" t="s">
        <v>43</v>
      </c>
      <c r="D1031" s="12" t="s">
        <v>190</v>
      </c>
      <c r="E1031" s="12" t="s">
        <v>179</v>
      </c>
      <c r="F1031" s="12" t="s">
        <v>284</v>
      </c>
      <c r="G1031" s="12" t="s">
        <v>136</v>
      </c>
      <c r="H1031" s="12" t="s">
        <v>59</v>
      </c>
      <c r="I1031" s="12" t="n">
        <v>23</v>
      </c>
      <c r="J1031" s="12" t="s">
        <v>105</v>
      </c>
      <c r="K1031" s="12" t="s">
        <v>63</v>
      </c>
      <c r="L1031" s="12" t="str">
        <f aca="false">IF(OR(H1031="Severe",H1031="Life-Threatening"),"Yes","No")</f>
        <v>Yes</v>
      </c>
      <c r="M1031" s="12" t="str">
        <f aca="false">IF(B1031&lt;18,"0-17",IF(B1031&lt;40,"18-39",IF(B1031&lt;60,"40-59","60+")))</f>
        <v>18-39</v>
      </c>
      <c r="N1031" s="12" t="str">
        <f aca="false">IF(I1031&lt;=1,"0-1 days",IF(I1031&lt;=7,"2-7 days",IF(I1031&lt;=30,"8-30 days","&gt;30 days")))</f>
        <v>8-30 days</v>
      </c>
    </row>
    <row r="1032" customFormat="false" ht="15" hidden="false" customHeight="false" outlineLevel="0" collapsed="false">
      <c r="A1032" s="12" t="s">
        <v>1273</v>
      </c>
      <c r="B1032" s="12" t="n">
        <v>54</v>
      </c>
      <c r="C1032" s="12" t="s">
        <v>43</v>
      </c>
      <c r="D1032" s="12" t="s">
        <v>55</v>
      </c>
      <c r="E1032" s="12" t="s">
        <v>179</v>
      </c>
      <c r="F1032" s="12" t="s">
        <v>45</v>
      </c>
      <c r="G1032" s="12" t="s">
        <v>38</v>
      </c>
      <c r="H1032" s="12" t="s">
        <v>46</v>
      </c>
      <c r="I1032" s="12" t="n">
        <v>26</v>
      </c>
      <c r="J1032" s="12" t="s">
        <v>40</v>
      </c>
      <c r="K1032" s="12" t="s">
        <v>48</v>
      </c>
      <c r="L1032" s="12" t="str">
        <f aca="false">IF(OR(H1032="Severe",H1032="Life-Threatening"),"Yes","No")</f>
        <v>No</v>
      </c>
      <c r="M1032" s="12" t="str">
        <f aca="false">IF(B1032&lt;18,"0-17",IF(B1032&lt;40,"18-39",IF(B1032&lt;60,"40-59","60+")))</f>
        <v>40-59</v>
      </c>
      <c r="N1032" s="12" t="str">
        <f aca="false">IF(I1032&lt;=1,"0-1 days",IF(I1032&lt;=7,"2-7 days",IF(I1032&lt;=30,"8-30 days","&gt;30 days")))</f>
        <v>8-30 days</v>
      </c>
    </row>
    <row r="1033" customFormat="false" ht="15" hidden="false" customHeight="false" outlineLevel="0" collapsed="false">
      <c r="A1033" s="12" t="s">
        <v>1274</v>
      </c>
      <c r="B1033" s="12" t="n">
        <v>26</v>
      </c>
      <c r="C1033" s="12" t="s">
        <v>34</v>
      </c>
      <c r="D1033" s="12" t="s">
        <v>35</v>
      </c>
      <c r="E1033" s="12" t="s">
        <v>287</v>
      </c>
      <c r="F1033" s="12" t="s">
        <v>45</v>
      </c>
      <c r="G1033" s="12" t="s">
        <v>38</v>
      </c>
      <c r="H1033" s="12" t="s">
        <v>46</v>
      </c>
      <c r="I1033" s="12" t="n">
        <v>10</v>
      </c>
      <c r="J1033" s="12" t="s">
        <v>40</v>
      </c>
      <c r="K1033" s="12" t="s">
        <v>41</v>
      </c>
      <c r="L1033" s="12" t="str">
        <f aca="false">IF(OR(H1033="Severe",H1033="Life-Threatening"),"Yes","No")</f>
        <v>No</v>
      </c>
      <c r="M1033" s="12" t="str">
        <f aca="false">IF(B1033&lt;18,"0-17",IF(B1033&lt;40,"18-39",IF(B1033&lt;60,"40-59","60+")))</f>
        <v>18-39</v>
      </c>
      <c r="N1033" s="12" t="str">
        <f aca="false">IF(I1033&lt;=1,"0-1 days",IF(I1033&lt;=7,"2-7 days",IF(I1033&lt;=30,"8-30 days","&gt;30 days")))</f>
        <v>8-30 days</v>
      </c>
    </row>
    <row r="1034" customFormat="false" ht="15" hidden="false" customHeight="false" outlineLevel="0" collapsed="false">
      <c r="A1034" s="12" t="s">
        <v>1275</v>
      </c>
      <c r="B1034" s="12" t="n">
        <v>9</v>
      </c>
      <c r="C1034" s="12" t="s">
        <v>34</v>
      </c>
      <c r="D1034" s="12" t="s">
        <v>55</v>
      </c>
      <c r="E1034" s="12" t="s">
        <v>227</v>
      </c>
      <c r="F1034" s="12" t="s">
        <v>264</v>
      </c>
      <c r="G1034" s="12" t="s">
        <v>104</v>
      </c>
      <c r="H1034" s="12" t="s">
        <v>76</v>
      </c>
      <c r="I1034" s="12" t="n">
        <v>25</v>
      </c>
      <c r="J1034" s="12" t="s">
        <v>67</v>
      </c>
      <c r="K1034" s="12" t="s">
        <v>147</v>
      </c>
      <c r="L1034" s="12" t="str">
        <f aca="false">IF(OR(H1034="Severe",H1034="Life-Threatening"),"Yes","No")</f>
        <v>Yes</v>
      </c>
      <c r="M1034" s="12" t="str">
        <f aca="false">IF(B1034&lt;18,"0-17",IF(B1034&lt;40,"18-39",IF(B1034&lt;60,"40-59","60+")))</f>
        <v>0-17</v>
      </c>
      <c r="N1034" s="12" t="str">
        <f aca="false">IF(I1034&lt;=1,"0-1 days",IF(I1034&lt;=7,"2-7 days",IF(I1034&lt;=30,"8-30 days","&gt;30 days")))</f>
        <v>8-30 days</v>
      </c>
    </row>
    <row r="1035" customFormat="false" ht="15" hidden="false" customHeight="false" outlineLevel="0" collapsed="false">
      <c r="A1035" s="12" t="s">
        <v>1276</v>
      </c>
      <c r="B1035" s="12" t="n">
        <v>74</v>
      </c>
      <c r="C1035" s="12" t="s">
        <v>43</v>
      </c>
      <c r="D1035" s="12" t="s">
        <v>55</v>
      </c>
      <c r="E1035" s="12" t="s">
        <v>321</v>
      </c>
      <c r="F1035" s="12" t="s">
        <v>142</v>
      </c>
      <c r="G1035" s="12" t="s">
        <v>38</v>
      </c>
      <c r="H1035" s="12" t="s">
        <v>39</v>
      </c>
      <c r="I1035" s="12" t="n">
        <v>23</v>
      </c>
      <c r="J1035" s="12" t="s">
        <v>47</v>
      </c>
      <c r="K1035" s="12" t="s">
        <v>48</v>
      </c>
      <c r="L1035" s="12" t="str">
        <f aca="false">IF(OR(H1035="Severe",H1035="Life-Threatening"),"Yes","No")</f>
        <v>No</v>
      </c>
      <c r="M1035" s="12" t="str">
        <f aca="false">IF(B1035&lt;18,"0-17",IF(B1035&lt;40,"18-39",IF(B1035&lt;60,"40-59","60+")))</f>
        <v>60+</v>
      </c>
      <c r="N1035" s="12" t="str">
        <f aca="false">IF(I1035&lt;=1,"0-1 days",IF(I1035&lt;=7,"2-7 days",IF(I1035&lt;=30,"8-30 days","&gt;30 days")))</f>
        <v>8-30 days</v>
      </c>
    </row>
    <row r="1036" customFormat="false" ht="15" hidden="false" customHeight="false" outlineLevel="0" collapsed="false">
      <c r="A1036" s="12" t="s">
        <v>1277</v>
      </c>
      <c r="B1036" s="12" t="n">
        <v>24</v>
      </c>
      <c r="C1036" s="12" t="s">
        <v>34</v>
      </c>
      <c r="D1036" s="12" t="s">
        <v>123</v>
      </c>
      <c r="E1036" s="12" t="s">
        <v>188</v>
      </c>
      <c r="F1036" s="12" t="s">
        <v>79</v>
      </c>
      <c r="G1036" s="12" t="s">
        <v>80</v>
      </c>
      <c r="H1036" s="12" t="s">
        <v>46</v>
      </c>
      <c r="I1036" s="12" t="n">
        <v>8</v>
      </c>
      <c r="J1036" s="12" t="s">
        <v>40</v>
      </c>
      <c r="K1036" s="12" t="s">
        <v>63</v>
      </c>
      <c r="L1036" s="12" t="str">
        <f aca="false">IF(OR(H1036="Severe",H1036="Life-Threatening"),"Yes","No")</f>
        <v>No</v>
      </c>
      <c r="M1036" s="12" t="str">
        <f aca="false">IF(B1036&lt;18,"0-17",IF(B1036&lt;40,"18-39",IF(B1036&lt;60,"40-59","60+")))</f>
        <v>18-39</v>
      </c>
      <c r="N1036" s="12" t="str">
        <f aca="false">IF(I1036&lt;=1,"0-1 days",IF(I1036&lt;=7,"2-7 days",IF(I1036&lt;=30,"8-30 days","&gt;30 days")))</f>
        <v>8-30 days</v>
      </c>
    </row>
    <row r="1037" customFormat="false" ht="15" hidden="false" customHeight="false" outlineLevel="0" collapsed="false">
      <c r="A1037" s="12" t="s">
        <v>1278</v>
      </c>
      <c r="B1037" s="12" t="n">
        <v>74</v>
      </c>
      <c r="C1037" s="12" t="s">
        <v>43</v>
      </c>
      <c r="D1037" s="12" t="s">
        <v>35</v>
      </c>
      <c r="E1037" s="12" t="s">
        <v>272</v>
      </c>
      <c r="F1037" s="12" t="s">
        <v>114</v>
      </c>
      <c r="G1037" s="12" t="s">
        <v>115</v>
      </c>
      <c r="H1037" s="12" t="s">
        <v>76</v>
      </c>
      <c r="I1037" s="12" t="n">
        <v>8</v>
      </c>
      <c r="J1037" s="12" t="s">
        <v>67</v>
      </c>
      <c r="K1037" s="12" t="s">
        <v>63</v>
      </c>
      <c r="L1037" s="12" t="str">
        <f aca="false">IF(OR(H1037="Severe",H1037="Life-Threatening"),"Yes","No")</f>
        <v>Yes</v>
      </c>
      <c r="M1037" s="12" t="str">
        <f aca="false">IF(B1037&lt;18,"0-17",IF(B1037&lt;40,"18-39",IF(B1037&lt;60,"40-59","60+")))</f>
        <v>60+</v>
      </c>
      <c r="N1037" s="12" t="str">
        <f aca="false">IF(I1037&lt;=1,"0-1 days",IF(I1037&lt;=7,"2-7 days",IF(I1037&lt;=30,"8-30 days","&gt;30 days")))</f>
        <v>8-30 days</v>
      </c>
    </row>
    <row r="1038" customFormat="false" ht="15" hidden="false" customHeight="false" outlineLevel="0" collapsed="false">
      <c r="A1038" s="12" t="s">
        <v>1279</v>
      </c>
      <c r="B1038" s="12" t="n">
        <v>1</v>
      </c>
      <c r="C1038" s="12" t="s">
        <v>43</v>
      </c>
      <c r="D1038" s="12" t="s">
        <v>120</v>
      </c>
      <c r="E1038" s="12" t="s">
        <v>141</v>
      </c>
      <c r="F1038" s="12" t="s">
        <v>62</v>
      </c>
      <c r="G1038" s="12" t="s">
        <v>53</v>
      </c>
      <c r="H1038" s="12" t="s">
        <v>46</v>
      </c>
      <c r="I1038" s="12" t="n">
        <v>26</v>
      </c>
      <c r="J1038" s="12" t="s">
        <v>40</v>
      </c>
      <c r="K1038" s="12" t="s">
        <v>48</v>
      </c>
      <c r="L1038" s="12" t="str">
        <f aca="false">IF(OR(H1038="Severe",H1038="Life-Threatening"),"Yes","No")</f>
        <v>No</v>
      </c>
      <c r="M1038" s="12" t="str">
        <f aca="false">IF(B1038&lt;18,"0-17",IF(B1038&lt;40,"18-39",IF(B1038&lt;60,"40-59","60+")))</f>
        <v>0-17</v>
      </c>
      <c r="N1038" s="12" t="str">
        <f aca="false">IF(I1038&lt;=1,"0-1 days",IF(I1038&lt;=7,"2-7 days",IF(I1038&lt;=30,"8-30 days","&gt;30 days")))</f>
        <v>8-30 days</v>
      </c>
    </row>
    <row r="1039" customFormat="false" ht="15" hidden="false" customHeight="false" outlineLevel="0" collapsed="false">
      <c r="A1039" s="12" t="s">
        <v>1280</v>
      </c>
      <c r="B1039" s="12" t="n">
        <v>77</v>
      </c>
      <c r="C1039" s="12" t="s">
        <v>43</v>
      </c>
      <c r="D1039" s="12" t="s">
        <v>194</v>
      </c>
      <c r="E1039" s="12" t="s">
        <v>268</v>
      </c>
      <c r="F1039" s="12" t="s">
        <v>269</v>
      </c>
      <c r="G1039" s="12" t="s">
        <v>38</v>
      </c>
      <c r="H1039" s="12" t="s">
        <v>39</v>
      </c>
      <c r="I1039" s="12" t="n">
        <v>9</v>
      </c>
      <c r="J1039" s="12" t="s">
        <v>169</v>
      </c>
      <c r="K1039" s="12" t="s">
        <v>63</v>
      </c>
      <c r="L1039" s="12" t="str">
        <f aca="false">IF(OR(H1039="Severe",H1039="Life-Threatening"),"Yes","No")</f>
        <v>No</v>
      </c>
      <c r="M1039" s="12" t="str">
        <f aca="false">IF(B1039&lt;18,"0-17",IF(B1039&lt;40,"18-39",IF(B1039&lt;60,"40-59","60+")))</f>
        <v>60+</v>
      </c>
      <c r="N1039" s="12" t="str">
        <f aca="false">IF(I1039&lt;=1,"0-1 days",IF(I1039&lt;=7,"2-7 days",IF(I1039&lt;=30,"8-30 days","&gt;30 days")))</f>
        <v>8-30 days</v>
      </c>
    </row>
    <row r="1040" customFormat="false" ht="15" hidden="false" customHeight="false" outlineLevel="0" collapsed="false">
      <c r="A1040" s="12" t="s">
        <v>1281</v>
      </c>
      <c r="B1040" s="12" t="n">
        <v>15</v>
      </c>
      <c r="C1040" s="12" t="s">
        <v>34</v>
      </c>
      <c r="D1040" s="12" t="s">
        <v>327</v>
      </c>
      <c r="E1040" s="12" t="s">
        <v>150</v>
      </c>
      <c r="F1040" s="12" t="s">
        <v>151</v>
      </c>
      <c r="G1040" s="12" t="s">
        <v>152</v>
      </c>
      <c r="H1040" s="12" t="s">
        <v>46</v>
      </c>
      <c r="I1040" s="12" t="n">
        <v>0</v>
      </c>
      <c r="J1040" s="12" t="s">
        <v>40</v>
      </c>
      <c r="K1040" s="12" t="s">
        <v>63</v>
      </c>
      <c r="L1040" s="12" t="str">
        <f aca="false">IF(OR(H1040="Severe",H1040="Life-Threatening"),"Yes","No")</f>
        <v>No</v>
      </c>
      <c r="M1040" s="12" t="str">
        <f aca="false">IF(B1040&lt;18,"0-17",IF(B1040&lt;40,"18-39",IF(B1040&lt;60,"40-59","60+")))</f>
        <v>0-17</v>
      </c>
      <c r="N1040" s="12" t="str">
        <f aca="false">IF(I1040&lt;=1,"0-1 days",IF(I1040&lt;=7,"2-7 days",IF(I1040&lt;=30,"8-30 days","&gt;30 days")))</f>
        <v>0-1 days</v>
      </c>
    </row>
    <row r="1041" customFormat="false" ht="15" hidden="false" customHeight="false" outlineLevel="0" collapsed="false">
      <c r="A1041" s="12" t="s">
        <v>1282</v>
      </c>
      <c r="B1041" s="12" t="n">
        <v>12</v>
      </c>
      <c r="C1041" s="12" t="s">
        <v>34</v>
      </c>
      <c r="D1041" s="12" t="s">
        <v>168</v>
      </c>
      <c r="E1041" s="12" t="s">
        <v>241</v>
      </c>
      <c r="F1041" s="12" t="s">
        <v>135</v>
      </c>
      <c r="G1041" s="12" t="s">
        <v>136</v>
      </c>
      <c r="H1041" s="12" t="s">
        <v>46</v>
      </c>
      <c r="I1041" s="12" t="n">
        <v>10</v>
      </c>
      <c r="J1041" s="12" t="s">
        <v>40</v>
      </c>
      <c r="K1041" s="12" t="s">
        <v>48</v>
      </c>
      <c r="L1041" s="12" t="str">
        <f aca="false">IF(OR(H1041="Severe",H1041="Life-Threatening"),"Yes","No")</f>
        <v>No</v>
      </c>
      <c r="M1041" s="12" t="str">
        <f aca="false">IF(B1041&lt;18,"0-17",IF(B1041&lt;40,"18-39",IF(B1041&lt;60,"40-59","60+")))</f>
        <v>0-17</v>
      </c>
      <c r="N1041" s="12" t="str">
        <f aca="false">IF(I1041&lt;=1,"0-1 days",IF(I1041&lt;=7,"2-7 days",IF(I1041&lt;=30,"8-30 days","&gt;30 days")))</f>
        <v>8-30 days</v>
      </c>
    </row>
    <row r="1042" customFormat="false" ht="15" hidden="false" customHeight="false" outlineLevel="0" collapsed="false">
      <c r="A1042" s="12" t="s">
        <v>1283</v>
      </c>
      <c r="B1042" s="12" t="n">
        <v>49</v>
      </c>
      <c r="C1042" s="12" t="s">
        <v>43</v>
      </c>
      <c r="D1042" s="12" t="s">
        <v>69</v>
      </c>
      <c r="E1042" s="12" t="s">
        <v>229</v>
      </c>
      <c r="F1042" s="12" t="s">
        <v>214</v>
      </c>
      <c r="G1042" s="12" t="s">
        <v>115</v>
      </c>
      <c r="H1042" s="12" t="s">
        <v>39</v>
      </c>
      <c r="I1042" s="12" t="n">
        <v>18</v>
      </c>
      <c r="J1042" s="12" t="s">
        <v>40</v>
      </c>
      <c r="K1042" s="12" t="s">
        <v>41</v>
      </c>
      <c r="L1042" s="12" t="str">
        <f aca="false">IF(OR(H1042="Severe",H1042="Life-Threatening"),"Yes","No")</f>
        <v>No</v>
      </c>
      <c r="M1042" s="12" t="str">
        <f aca="false">IF(B1042&lt;18,"0-17",IF(B1042&lt;40,"18-39",IF(B1042&lt;60,"40-59","60+")))</f>
        <v>40-59</v>
      </c>
      <c r="N1042" s="12" t="str">
        <f aca="false">IF(I1042&lt;=1,"0-1 days",IF(I1042&lt;=7,"2-7 days",IF(I1042&lt;=30,"8-30 days","&gt;30 days")))</f>
        <v>8-30 days</v>
      </c>
    </row>
    <row r="1043" customFormat="false" ht="15" hidden="false" customHeight="false" outlineLevel="0" collapsed="false">
      <c r="A1043" s="12" t="s">
        <v>1284</v>
      </c>
      <c r="B1043" s="12" t="n">
        <v>50</v>
      </c>
      <c r="C1043" s="12" t="s">
        <v>34</v>
      </c>
      <c r="D1043" s="12" t="s">
        <v>91</v>
      </c>
      <c r="E1043" s="12" t="s">
        <v>225</v>
      </c>
      <c r="F1043" s="12" t="s">
        <v>235</v>
      </c>
      <c r="G1043" s="12" t="s">
        <v>53</v>
      </c>
      <c r="H1043" s="12" t="s">
        <v>39</v>
      </c>
      <c r="I1043" s="12" t="n">
        <v>5</v>
      </c>
      <c r="J1043" s="12" t="s">
        <v>47</v>
      </c>
      <c r="K1043" s="12" t="s">
        <v>48</v>
      </c>
      <c r="L1043" s="12" t="str">
        <f aca="false">IF(OR(H1043="Severe",H1043="Life-Threatening"),"Yes","No")</f>
        <v>No</v>
      </c>
      <c r="M1043" s="12" t="str">
        <f aca="false">IF(B1043&lt;18,"0-17",IF(B1043&lt;40,"18-39",IF(B1043&lt;60,"40-59","60+")))</f>
        <v>40-59</v>
      </c>
      <c r="N1043" s="12" t="str">
        <f aca="false">IF(I1043&lt;=1,"0-1 days",IF(I1043&lt;=7,"2-7 days",IF(I1043&lt;=30,"8-30 days","&gt;30 days")))</f>
        <v>2-7 days</v>
      </c>
    </row>
    <row r="1044" customFormat="false" ht="15" hidden="false" customHeight="false" outlineLevel="0" collapsed="false">
      <c r="A1044" s="12" t="s">
        <v>1285</v>
      </c>
      <c r="B1044" s="12" t="n">
        <v>53</v>
      </c>
      <c r="C1044" s="12" t="s">
        <v>34</v>
      </c>
      <c r="D1044" s="12" t="s">
        <v>245</v>
      </c>
      <c r="E1044" s="12" t="s">
        <v>206</v>
      </c>
      <c r="F1044" s="12" t="s">
        <v>62</v>
      </c>
      <c r="G1044" s="12" t="s">
        <v>53</v>
      </c>
      <c r="H1044" s="12" t="s">
        <v>46</v>
      </c>
      <c r="I1044" s="12" t="n">
        <v>3</v>
      </c>
      <c r="J1044" s="12" t="s">
        <v>40</v>
      </c>
      <c r="K1044" s="12" t="s">
        <v>63</v>
      </c>
      <c r="L1044" s="12" t="str">
        <f aca="false">IF(OR(H1044="Severe",H1044="Life-Threatening"),"Yes","No")</f>
        <v>No</v>
      </c>
      <c r="M1044" s="12" t="str">
        <f aca="false">IF(B1044&lt;18,"0-17",IF(B1044&lt;40,"18-39",IF(B1044&lt;60,"40-59","60+")))</f>
        <v>40-59</v>
      </c>
      <c r="N1044" s="12" t="str">
        <f aca="false">IF(I1044&lt;=1,"0-1 days",IF(I1044&lt;=7,"2-7 days",IF(I1044&lt;=30,"8-30 days","&gt;30 days")))</f>
        <v>2-7 days</v>
      </c>
    </row>
    <row r="1045" customFormat="false" ht="15" hidden="false" customHeight="false" outlineLevel="0" collapsed="false">
      <c r="A1045" s="12" t="s">
        <v>1286</v>
      </c>
      <c r="B1045" s="12" t="n">
        <v>5</v>
      </c>
      <c r="C1045" s="12" t="s">
        <v>43</v>
      </c>
      <c r="D1045" s="12" t="s">
        <v>55</v>
      </c>
      <c r="E1045" s="12" t="s">
        <v>107</v>
      </c>
      <c r="F1045" s="12" t="s">
        <v>108</v>
      </c>
      <c r="G1045" s="12" t="s">
        <v>38</v>
      </c>
      <c r="H1045" s="12" t="s">
        <v>46</v>
      </c>
      <c r="I1045" s="12" t="n">
        <v>14</v>
      </c>
      <c r="J1045" s="12" t="s">
        <v>40</v>
      </c>
      <c r="K1045" s="12" t="s">
        <v>48</v>
      </c>
      <c r="L1045" s="12" t="str">
        <f aca="false">IF(OR(H1045="Severe",H1045="Life-Threatening"),"Yes","No")</f>
        <v>No</v>
      </c>
      <c r="M1045" s="12" t="str">
        <f aca="false">IF(B1045&lt;18,"0-17",IF(B1045&lt;40,"18-39",IF(B1045&lt;60,"40-59","60+")))</f>
        <v>0-17</v>
      </c>
      <c r="N1045" s="12" t="str">
        <f aca="false">IF(I1045&lt;=1,"0-1 days",IF(I1045&lt;=7,"2-7 days",IF(I1045&lt;=30,"8-30 days","&gt;30 days")))</f>
        <v>8-30 days</v>
      </c>
    </row>
    <row r="1046" customFormat="false" ht="15" hidden="false" customHeight="false" outlineLevel="0" collapsed="false">
      <c r="A1046" s="12" t="s">
        <v>1287</v>
      </c>
      <c r="B1046" s="12" t="n">
        <v>13</v>
      </c>
      <c r="C1046" s="12" t="s">
        <v>43</v>
      </c>
      <c r="D1046" s="12" t="s">
        <v>50</v>
      </c>
      <c r="E1046" s="12" t="s">
        <v>44</v>
      </c>
      <c r="F1046" s="12" t="s">
        <v>45</v>
      </c>
      <c r="G1046" s="12" t="s">
        <v>38</v>
      </c>
      <c r="H1046" s="12" t="s">
        <v>46</v>
      </c>
      <c r="I1046" s="12" t="n">
        <v>16</v>
      </c>
      <c r="J1046" s="12" t="s">
        <v>40</v>
      </c>
      <c r="K1046" s="12" t="s">
        <v>63</v>
      </c>
      <c r="L1046" s="12" t="str">
        <f aca="false">IF(OR(H1046="Severe",H1046="Life-Threatening"),"Yes","No")</f>
        <v>No</v>
      </c>
      <c r="M1046" s="12" t="str">
        <f aca="false">IF(B1046&lt;18,"0-17",IF(B1046&lt;40,"18-39",IF(B1046&lt;60,"40-59","60+")))</f>
        <v>0-17</v>
      </c>
      <c r="N1046" s="12" t="str">
        <f aca="false">IF(I1046&lt;=1,"0-1 days",IF(I1046&lt;=7,"2-7 days",IF(I1046&lt;=30,"8-30 days","&gt;30 days")))</f>
        <v>8-30 days</v>
      </c>
    </row>
    <row r="1047" customFormat="false" ht="15" hidden="false" customHeight="false" outlineLevel="0" collapsed="false">
      <c r="A1047" s="12" t="s">
        <v>1288</v>
      </c>
      <c r="B1047" s="12" t="n">
        <v>30</v>
      </c>
      <c r="C1047" s="12" t="s">
        <v>43</v>
      </c>
      <c r="D1047" s="12" t="s">
        <v>196</v>
      </c>
      <c r="E1047" s="12" t="s">
        <v>51</v>
      </c>
      <c r="F1047" s="12" t="s">
        <v>145</v>
      </c>
      <c r="G1047" s="12" t="s">
        <v>146</v>
      </c>
      <c r="H1047" s="12" t="s">
        <v>76</v>
      </c>
      <c r="I1047" s="12" t="n">
        <v>14</v>
      </c>
      <c r="J1047" s="12" t="s">
        <v>67</v>
      </c>
      <c r="K1047" s="12" t="s">
        <v>41</v>
      </c>
      <c r="L1047" s="12" t="str">
        <f aca="false">IF(OR(H1047="Severe",H1047="Life-Threatening"),"Yes","No")</f>
        <v>Yes</v>
      </c>
      <c r="M1047" s="12" t="str">
        <f aca="false">IF(B1047&lt;18,"0-17",IF(B1047&lt;40,"18-39",IF(B1047&lt;60,"40-59","60+")))</f>
        <v>18-39</v>
      </c>
      <c r="N1047" s="12" t="str">
        <f aca="false">IF(I1047&lt;=1,"0-1 days",IF(I1047&lt;=7,"2-7 days",IF(I1047&lt;=30,"8-30 days","&gt;30 days")))</f>
        <v>8-30 days</v>
      </c>
    </row>
    <row r="1048" customFormat="false" ht="15" hidden="false" customHeight="false" outlineLevel="0" collapsed="false">
      <c r="A1048" s="12" t="s">
        <v>1289</v>
      </c>
      <c r="B1048" s="12" t="n">
        <v>87</v>
      </c>
      <c r="C1048" s="12" t="s">
        <v>43</v>
      </c>
      <c r="D1048" s="12" t="s">
        <v>194</v>
      </c>
      <c r="E1048" s="12" t="s">
        <v>121</v>
      </c>
      <c r="F1048" s="12" t="s">
        <v>565</v>
      </c>
      <c r="G1048" s="12" t="s">
        <v>115</v>
      </c>
      <c r="H1048" s="12" t="s">
        <v>39</v>
      </c>
      <c r="I1048" s="12" t="n">
        <v>25</v>
      </c>
      <c r="J1048" s="12" t="s">
        <v>169</v>
      </c>
      <c r="K1048" s="12" t="s">
        <v>63</v>
      </c>
      <c r="L1048" s="12" t="str">
        <f aca="false">IF(OR(H1048="Severe",H1048="Life-Threatening"),"Yes","No")</f>
        <v>No</v>
      </c>
      <c r="M1048" s="12" t="str">
        <f aca="false">IF(B1048&lt;18,"0-17",IF(B1048&lt;40,"18-39",IF(B1048&lt;60,"40-59","60+")))</f>
        <v>60+</v>
      </c>
      <c r="N1048" s="12" t="str">
        <f aca="false">IF(I1048&lt;=1,"0-1 days",IF(I1048&lt;=7,"2-7 days",IF(I1048&lt;=30,"8-30 days","&gt;30 days")))</f>
        <v>8-30 days</v>
      </c>
    </row>
    <row r="1049" customFormat="false" ht="15" hidden="false" customHeight="false" outlineLevel="0" collapsed="false">
      <c r="A1049" s="12" t="s">
        <v>1290</v>
      </c>
      <c r="B1049" s="12" t="n">
        <v>38</v>
      </c>
      <c r="C1049" s="12" t="s">
        <v>34</v>
      </c>
      <c r="D1049" s="12" t="s">
        <v>55</v>
      </c>
      <c r="E1049" s="12" t="s">
        <v>313</v>
      </c>
      <c r="F1049" s="12" t="s">
        <v>142</v>
      </c>
      <c r="G1049" s="12" t="s">
        <v>38</v>
      </c>
      <c r="H1049" s="12" t="s">
        <v>46</v>
      </c>
      <c r="I1049" s="12" t="n">
        <v>22</v>
      </c>
      <c r="J1049" s="12" t="s">
        <v>47</v>
      </c>
      <c r="K1049" s="12" t="s">
        <v>48</v>
      </c>
      <c r="L1049" s="12" t="str">
        <f aca="false">IF(OR(H1049="Severe",H1049="Life-Threatening"),"Yes","No")</f>
        <v>No</v>
      </c>
      <c r="M1049" s="12" t="str">
        <f aca="false">IF(B1049&lt;18,"0-17",IF(B1049&lt;40,"18-39",IF(B1049&lt;60,"40-59","60+")))</f>
        <v>18-39</v>
      </c>
      <c r="N1049" s="12" t="str">
        <f aca="false">IF(I1049&lt;=1,"0-1 days",IF(I1049&lt;=7,"2-7 days",IF(I1049&lt;=30,"8-30 days","&gt;30 days")))</f>
        <v>8-30 days</v>
      </c>
    </row>
    <row r="1050" customFormat="false" ht="15" hidden="false" customHeight="false" outlineLevel="0" collapsed="false">
      <c r="A1050" s="12" t="s">
        <v>1291</v>
      </c>
      <c r="B1050" s="12" t="n">
        <v>5</v>
      </c>
      <c r="C1050" s="12" t="s">
        <v>34</v>
      </c>
      <c r="D1050" s="12" t="s">
        <v>581</v>
      </c>
      <c r="E1050" s="12" t="s">
        <v>287</v>
      </c>
      <c r="F1050" s="12" t="s">
        <v>45</v>
      </c>
      <c r="G1050" s="12" t="s">
        <v>38</v>
      </c>
      <c r="H1050" s="12" t="s">
        <v>76</v>
      </c>
      <c r="I1050" s="12" t="n">
        <v>4</v>
      </c>
      <c r="J1050" s="12" t="s">
        <v>40</v>
      </c>
      <c r="K1050" s="12" t="s">
        <v>48</v>
      </c>
      <c r="L1050" s="12" t="str">
        <f aca="false">IF(OR(H1050="Severe",H1050="Life-Threatening"),"Yes","No")</f>
        <v>Yes</v>
      </c>
      <c r="M1050" s="12" t="str">
        <f aca="false">IF(B1050&lt;18,"0-17",IF(B1050&lt;40,"18-39",IF(B1050&lt;60,"40-59","60+")))</f>
        <v>0-17</v>
      </c>
      <c r="N1050" s="12" t="str">
        <f aca="false">IF(I1050&lt;=1,"0-1 days",IF(I1050&lt;=7,"2-7 days",IF(I1050&lt;=30,"8-30 days","&gt;30 days")))</f>
        <v>2-7 days</v>
      </c>
    </row>
    <row r="1051" customFormat="false" ht="15" hidden="false" customHeight="false" outlineLevel="0" collapsed="false">
      <c r="A1051" s="12" t="s">
        <v>1292</v>
      </c>
      <c r="B1051" s="12" t="n">
        <v>21</v>
      </c>
      <c r="C1051" s="12" t="s">
        <v>43</v>
      </c>
      <c r="D1051" s="12" t="s">
        <v>35</v>
      </c>
      <c r="E1051" s="12" t="s">
        <v>130</v>
      </c>
      <c r="F1051" s="12" t="s">
        <v>62</v>
      </c>
      <c r="G1051" s="12" t="s">
        <v>53</v>
      </c>
      <c r="H1051" s="12" t="s">
        <v>46</v>
      </c>
      <c r="I1051" s="12" t="n">
        <v>3</v>
      </c>
      <c r="J1051" s="12" t="s">
        <v>40</v>
      </c>
      <c r="K1051" s="12" t="s">
        <v>48</v>
      </c>
      <c r="L1051" s="12" t="str">
        <f aca="false">IF(OR(H1051="Severe",H1051="Life-Threatening"),"Yes","No")</f>
        <v>No</v>
      </c>
      <c r="M1051" s="12" t="str">
        <f aca="false">IF(B1051&lt;18,"0-17",IF(B1051&lt;40,"18-39",IF(B1051&lt;60,"40-59","60+")))</f>
        <v>18-39</v>
      </c>
      <c r="N1051" s="12" t="str">
        <f aca="false">IF(I1051&lt;=1,"0-1 days",IF(I1051&lt;=7,"2-7 days",IF(I1051&lt;=30,"8-30 days","&gt;30 days")))</f>
        <v>2-7 days</v>
      </c>
    </row>
    <row r="1052" customFormat="false" ht="15" hidden="false" customHeight="false" outlineLevel="0" collapsed="false">
      <c r="A1052" s="12" t="s">
        <v>1293</v>
      </c>
      <c r="B1052" s="12" t="n">
        <v>77</v>
      </c>
      <c r="C1052" s="12" t="s">
        <v>34</v>
      </c>
      <c r="D1052" s="12" t="s">
        <v>35</v>
      </c>
      <c r="E1052" s="12" t="s">
        <v>241</v>
      </c>
      <c r="F1052" s="12" t="s">
        <v>254</v>
      </c>
      <c r="G1052" s="12" t="s">
        <v>136</v>
      </c>
      <c r="H1052" s="12" t="s">
        <v>59</v>
      </c>
      <c r="I1052" s="12" t="n">
        <v>22</v>
      </c>
      <c r="J1052" s="12" t="s">
        <v>40</v>
      </c>
      <c r="K1052" s="12" t="s">
        <v>48</v>
      </c>
      <c r="L1052" s="12" t="str">
        <f aca="false">IF(OR(H1052="Severe",H1052="Life-Threatening"),"Yes","No")</f>
        <v>Yes</v>
      </c>
      <c r="M1052" s="12" t="str">
        <f aca="false">IF(B1052&lt;18,"0-17",IF(B1052&lt;40,"18-39",IF(B1052&lt;60,"40-59","60+")))</f>
        <v>60+</v>
      </c>
      <c r="N1052" s="12" t="str">
        <f aca="false">IF(I1052&lt;=1,"0-1 days",IF(I1052&lt;=7,"2-7 days",IF(I1052&lt;=30,"8-30 days","&gt;30 days")))</f>
        <v>8-30 days</v>
      </c>
    </row>
    <row r="1053" customFormat="false" ht="15" hidden="false" customHeight="false" outlineLevel="0" collapsed="false">
      <c r="A1053" s="12" t="s">
        <v>1294</v>
      </c>
      <c r="B1053" s="12" t="n">
        <v>65</v>
      </c>
      <c r="C1053" s="12" t="s">
        <v>43</v>
      </c>
      <c r="D1053" s="12" t="s">
        <v>91</v>
      </c>
      <c r="E1053" s="12" t="s">
        <v>134</v>
      </c>
      <c r="F1053" s="12" t="s">
        <v>333</v>
      </c>
      <c r="G1053" s="12" t="s">
        <v>104</v>
      </c>
      <c r="H1053" s="12" t="s">
        <v>59</v>
      </c>
      <c r="I1053" s="12" t="n">
        <v>29</v>
      </c>
      <c r="J1053" s="12" t="s">
        <v>67</v>
      </c>
      <c r="K1053" s="12" t="s">
        <v>63</v>
      </c>
      <c r="L1053" s="12" t="str">
        <f aca="false">IF(OR(H1053="Severe",H1053="Life-Threatening"),"Yes","No")</f>
        <v>Yes</v>
      </c>
      <c r="M1053" s="12" t="str">
        <f aca="false">IF(B1053&lt;18,"0-17",IF(B1053&lt;40,"18-39",IF(B1053&lt;60,"40-59","60+")))</f>
        <v>60+</v>
      </c>
      <c r="N1053" s="12" t="str">
        <f aca="false">IF(I1053&lt;=1,"0-1 days",IF(I1053&lt;=7,"2-7 days",IF(I1053&lt;=30,"8-30 days","&gt;30 days")))</f>
        <v>8-30 days</v>
      </c>
    </row>
    <row r="1054" customFormat="false" ht="15" hidden="false" customHeight="false" outlineLevel="0" collapsed="false">
      <c r="A1054" s="12" t="s">
        <v>1295</v>
      </c>
      <c r="B1054" s="12" t="n">
        <v>31</v>
      </c>
      <c r="C1054" s="12" t="s">
        <v>34</v>
      </c>
      <c r="D1054" s="12" t="s">
        <v>55</v>
      </c>
      <c r="E1054" s="12" t="s">
        <v>307</v>
      </c>
      <c r="F1054" s="12" t="s">
        <v>249</v>
      </c>
      <c r="G1054" s="12" t="s">
        <v>152</v>
      </c>
      <c r="H1054" s="12" t="s">
        <v>46</v>
      </c>
      <c r="I1054" s="12" t="n">
        <v>11</v>
      </c>
      <c r="J1054" s="12" t="s">
        <v>40</v>
      </c>
      <c r="K1054" s="12" t="s">
        <v>48</v>
      </c>
      <c r="L1054" s="12" t="str">
        <f aca="false">IF(OR(H1054="Severe",H1054="Life-Threatening"),"Yes","No")</f>
        <v>No</v>
      </c>
      <c r="M1054" s="12" t="str">
        <f aca="false">IF(B1054&lt;18,"0-17",IF(B1054&lt;40,"18-39",IF(B1054&lt;60,"40-59","60+")))</f>
        <v>18-39</v>
      </c>
      <c r="N1054" s="12" t="str">
        <f aca="false">IF(I1054&lt;=1,"0-1 days",IF(I1054&lt;=7,"2-7 days",IF(I1054&lt;=30,"8-30 days","&gt;30 days")))</f>
        <v>8-30 days</v>
      </c>
    </row>
    <row r="1055" customFormat="false" ht="15" hidden="false" customHeight="false" outlineLevel="0" collapsed="false">
      <c r="A1055" s="12" t="s">
        <v>1296</v>
      </c>
      <c r="B1055" s="12" t="n">
        <v>95</v>
      </c>
      <c r="C1055" s="12" t="s">
        <v>43</v>
      </c>
      <c r="D1055" s="12" t="s">
        <v>35</v>
      </c>
      <c r="E1055" s="12" t="s">
        <v>495</v>
      </c>
      <c r="F1055" s="12" t="s">
        <v>364</v>
      </c>
      <c r="G1055" s="12" t="s">
        <v>38</v>
      </c>
      <c r="H1055" s="12" t="s">
        <v>76</v>
      </c>
      <c r="I1055" s="12" t="n">
        <v>26</v>
      </c>
      <c r="J1055" s="12" t="s">
        <v>40</v>
      </c>
      <c r="K1055" s="12" t="s">
        <v>63</v>
      </c>
      <c r="L1055" s="12" t="str">
        <f aca="false">IF(OR(H1055="Severe",H1055="Life-Threatening"),"Yes","No")</f>
        <v>Yes</v>
      </c>
      <c r="M1055" s="12" t="str">
        <f aca="false">IF(B1055&lt;18,"0-17",IF(B1055&lt;40,"18-39",IF(B1055&lt;60,"40-59","60+")))</f>
        <v>60+</v>
      </c>
      <c r="N1055" s="12" t="str">
        <f aca="false">IF(I1055&lt;=1,"0-1 days",IF(I1055&lt;=7,"2-7 days",IF(I1055&lt;=30,"8-30 days","&gt;30 days")))</f>
        <v>8-30 days</v>
      </c>
    </row>
    <row r="1056" customFormat="false" ht="15" hidden="false" customHeight="false" outlineLevel="0" collapsed="false">
      <c r="A1056" s="12" t="s">
        <v>1297</v>
      </c>
      <c r="B1056" s="12" t="n">
        <v>76</v>
      </c>
      <c r="C1056" s="12" t="s">
        <v>43</v>
      </c>
      <c r="D1056" s="12" t="s">
        <v>190</v>
      </c>
      <c r="E1056" s="12" t="s">
        <v>225</v>
      </c>
      <c r="F1056" s="12" t="s">
        <v>139</v>
      </c>
      <c r="G1056" s="12" t="s">
        <v>38</v>
      </c>
      <c r="H1056" s="12" t="s">
        <v>46</v>
      </c>
      <c r="I1056" s="12" t="n">
        <v>2</v>
      </c>
      <c r="J1056" s="12" t="s">
        <v>40</v>
      </c>
      <c r="K1056" s="12" t="s">
        <v>63</v>
      </c>
      <c r="L1056" s="12" t="str">
        <f aca="false">IF(OR(H1056="Severe",H1056="Life-Threatening"),"Yes","No")</f>
        <v>No</v>
      </c>
      <c r="M1056" s="12" t="str">
        <f aca="false">IF(B1056&lt;18,"0-17",IF(B1056&lt;40,"18-39",IF(B1056&lt;60,"40-59","60+")))</f>
        <v>60+</v>
      </c>
      <c r="N1056" s="12" t="str">
        <f aca="false">IF(I1056&lt;=1,"0-1 days",IF(I1056&lt;=7,"2-7 days",IF(I1056&lt;=30,"8-30 days","&gt;30 days")))</f>
        <v>2-7 days</v>
      </c>
    </row>
    <row r="1057" customFormat="false" ht="15" hidden="false" customHeight="false" outlineLevel="0" collapsed="false">
      <c r="A1057" s="12" t="s">
        <v>1298</v>
      </c>
      <c r="B1057" s="12" t="n">
        <v>64</v>
      </c>
      <c r="C1057" s="12" t="s">
        <v>43</v>
      </c>
      <c r="D1057" s="12" t="s">
        <v>35</v>
      </c>
      <c r="E1057" s="12" t="s">
        <v>44</v>
      </c>
      <c r="F1057" s="12" t="s">
        <v>45</v>
      </c>
      <c r="G1057" s="12" t="s">
        <v>38</v>
      </c>
      <c r="H1057" s="12" t="s">
        <v>39</v>
      </c>
      <c r="I1057" s="12" t="n">
        <v>30</v>
      </c>
      <c r="J1057" s="12" t="s">
        <v>47</v>
      </c>
      <c r="K1057" s="12" t="s">
        <v>48</v>
      </c>
      <c r="L1057" s="12" t="str">
        <f aca="false">IF(OR(H1057="Severe",H1057="Life-Threatening"),"Yes","No")</f>
        <v>No</v>
      </c>
      <c r="M1057" s="12" t="str">
        <f aca="false">IF(B1057&lt;18,"0-17",IF(B1057&lt;40,"18-39",IF(B1057&lt;60,"40-59","60+")))</f>
        <v>60+</v>
      </c>
      <c r="N1057" s="12" t="str">
        <f aca="false">IF(I1057&lt;=1,"0-1 days",IF(I1057&lt;=7,"2-7 days",IF(I1057&lt;=30,"8-30 days","&gt;30 days")))</f>
        <v>8-30 days</v>
      </c>
    </row>
    <row r="1058" customFormat="false" ht="15" hidden="false" customHeight="false" outlineLevel="0" collapsed="false">
      <c r="A1058" s="12" t="s">
        <v>1299</v>
      </c>
      <c r="B1058" s="12" t="n">
        <v>31</v>
      </c>
      <c r="C1058" s="12" t="s">
        <v>34</v>
      </c>
      <c r="D1058" s="12" t="s">
        <v>99</v>
      </c>
      <c r="E1058" s="12" t="s">
        <v>191</v>
      </c>
      <c r="F1058" s="12" t="s">
        <v>45</v>
      </c>
      <c r="G1058" s="12" t="s">
        <v>38</v>
      </c>
      <c r="H1058" s="12" t="s">
        <v>46</v>
      </c>
      <c r="I1058" s="12" t="n">
        <v>13</v>
      </c>
      <c r="J1058" s="12" t="s">
        <v>47</v>
      </c>
      <c r="K1058" s="12" t="s">
        <v>63</v>
      </c>
      <c r="L1058" s="12" t="str">
        <f aca="false">IF(OR(H1058="Severe",H1058="Life-Threatening"),"Yes","No")</f>
        <v>No</v>
      </c>
      <c r="M1058" s="12" t="str">
        <f aca="false">IF(B1058&lt;18,"0-17",IF(B1058&lt;40,"18-39",IF(B1058&lt;60,"40-59","60+")))</f>
        <v>18-39</v>
      </c>
      <c r="N1058" s="12" t="str">
        <f aca="false">IF(I1058&lt;=1,"0-1 days",IF(I1058&lt;=7,"2-7 days",IF(I1058&lt;=30,"8-30 days","&gt;30 days")))</f>
        <v>8-30 days</v>
      </c>
    </row>
    <row r="1059" customFormat="false" ht="15" hidden="false" customHeight="false" outlineLevel="0" collapsed="false">
      <c r="A1059" s="12" t="s">
        <v>1300</v>
      </c>
      <c r="B1059" s="12" t="n">
        <v>41</v>
      </c>
      <c r="C1059" s="12" t="s">
        <v>34</v>
      </c>
      <c r="D1059" s="12" t="s">
        <v>50</v>
      </c>
      <c r="E1059" s="12" t="s">
        <v>61</v>
      </c>
      <c r="F1059" s="12" t="s">
        <v>62</v>
      </c>
      <c r="G1059" s="12" t="s">
        <v>53</v>
      </c>
      <c r="H1059" s="12" t="s">
        <v>39</v>
      </c>
      <c r="I1059" s="12" t="n">
        <v>7</v>
      </c>
      <c r="J1059" s="12" t="s">
        <v>47</v>
      </c>
      <c r="K1059" s="12" t="s">
        <v>48</v>
      </c>
      <c r="L1059" s="12" t="str">
        <f aca="false">IF(OR(H1059="Severe",H1059="Life-Threatening"),"Yes","No")</f>
        <v>No</v>
      </c>
      <c r="M1059" s="12" t="str">
        <f aca="false">IF(B1059&lt;18,"0-17",IF(B1059&lt;40,"18-39",IF(B1059&lt;60,"40-59","60+")))</f>
        <v>40-59</v>
      </c>
      <c r="N1059" s="12" t="str">
        <f aca="false">IF(I1059&lt;=1,"0-1 days",IF(I1059&lt;=7,"2-7 days",IF(I1059&lt;=30,"8-30 days","&gt;30 days")))</f>
        <v>2-7 days</v>
      </c>
    </row>
    <row r="1060" customFormat="false" ht="15" hidden="false" customHeight="false" outlineLevel="0" collapsed="false">
      <c r="A1060" s="12" t="s">
        <v>1301</v>
      </c>
      <c r="B1060" s="12" t="n">
        <v>47</v>
      </c>
      <c r="C1060" s="12" t="s">
        <v>34</v>
      </c>
      <c r="D1060" s="12" t="s">
        <v>55</v>
      </c>
      <c r="E1060" s="12" t="s">
        <v>36</v>
      </c>
      <c r="F1060" s="12" t="s">
        <v>37</v>
      </c>
      <c r="G1060" s="12" t="s">
        <v>38</v>
      </c>
      <c r="H1060" s="12" t="s">
        <v>39</v>
      </c>
      <c r="I1060" s="12" t="n">
        <v>12</v>
      </c>
      <c r="J1060" s="12" t="s">
        <v>40</v>
      </c>
      <c r="K1060" s="12" t="s">
        <v>63</v>
      </c>
      <c r="L1060" s="12" t="str">
        <f aca="false">IF(OR(H1060="Severe",H1060="Life-Threatening"),"Yes","No")</f>
        <v>No</v>
      </c>
      <c r="M1060" s="12" t="str">
        <f aca="false">IF(B1060&lt;18,"0-17",IF(B1060&lt;40,"18-39",IF(B1060&lt;60,"40-59","60+")))</f>
        <v>40-59</v>
      </c>
      <c r="N1060" s="12" t="str">
        <f aca="false">IF(I1060&lt;=1,"0-1 days",IF(I1060&lt;=7,"2-7 days",IF(I1060&lt;=30,"8-30 days","&gt;30 days")))</f>
        <v>8-30 days</v>
      </c>
    </row>
    <row r="1061" customFormat="false" ht="15" hidden="false" customHeight="false" outlineLevel="0" collapsed="false">
      <c r="A1061" s="12" t="s">
        <v>1302</v>
      </c>
      <c r="B1061" s="12" t="n">
        <v>43</v>
      </c>
      <c r="C1061" s="12" t="s">
        <v>43</v>
      </c>
      <c r="D1061" s="12" t="s">
        <v>196</v>
      </c>
      <c r="E1061" s="12" t="s">
        <v>376</v>
      </c>
      <c r="F1061" s="12" t="s">
        <v>62</v>
      </c>
      <c r="G1061" s="12" t="s">
        <v>53</v>
      </c>
      <c r="H1061" s="12" t="s">
        <v>46</v>
      </c>
      <c r="I1061" s="12" t="n">
        <v>12</v>
      </c>
      <c r="J1061" s="12" t="s">
        <v>169</v>
      </c>
      <c r="K1061" s="12" t="s">
        <v>147</v>
      </c>
      <c r="L1061" s="12" t="str">
        <f aca="false">IF(OR(H1061="Severe",H1061="Life-Threatening"),"Yes","No")</f>
        <v>No</v>
      </c>
      <c r="M1061" s="12" t="str">
        <f aca="false">IF(B1061&lt;18,"0-17",IF(B1061&lt;40,"18-39",IF(B1061&lt;60,"40-59","60+")))</f>
        <v>40-59</v>
      </c>
      <c r="N1061" s="12" t="str">
        <f aca="false">IF(I1061&lt;=1,"0-1 days",IF(I1061&lt;=7,"2-7 days",IF(I1061&lt;=30,"8-30 days","&gt;30 days")))</f>
        <v>8-30 days</v>
      </c>
    </row>
    <row r="1062" customFormat="false" ht="15" hidden="false" customHeight="false" outlineLevel="0" collapsed="false">
      <c r="A1062" s="12" t="s">
        <v>1303</v>
      </c>
      <c r="B1062" s="12" t="n">
        <v>72</v>
      </c>
      <c r="C1062" s="12" t="s">
        <v>34</v>
      </c>
      <c r="D1062" s="12" t="s">
        <v>35</v>
      </c>
      <c r="E1062" s="12" t="s">
        <v>266</v>
      </c>
      <c r="F1062" s="12" t="s">
        <v>114</v>
      </c>
      <c r="G1062" s="12" t="s">
        <v>115</v>
      </c>
      <c r="H1062" s="12" t="s">
        <v>39</v>
      </c>
      <c r="I1062" s="12" t="n">
        <v>30</v>
      </c>
      <c r="J1062" s="12" t="s">
        <v>40</v>
      </c>
      <c r="K1062" s="12" t="s">
        <v>147</v>
      </c>
      <c r="L1062" s="12" t="str">
        <f aca="false">IF(OR(H1062="Severe",H1062="Life-Threatening"),"Yes","No")</f>
        <v>No</v>
      </c>
      <c r="M1062" s="12" t="str">
        <f aca="false">IF(B1062&lt;18,"0-17",IF(B1062&lt;40,"18-39",IF(B1062&lt;60,"40-59","60+")))</f>
        <v>60+</v>
      </c>
      <c r="N1062" s="12" t="str">
        <f aca="false">IF(I1062&lt;=1,"0-1 days",IF(I1062&lt;=7,"2-7 days",IF(I1062&lt;=30,"8-30 days","&gt;30 days")))</f>
        <v>8-30 days</v>
      </c>
    </row>
    <row r="1063" customFormat="false" ht="15" hidden="false" customHeight="false" outlineLevel="0" collapsed="false">
      <c r="A1063" s="12" t="s">
        <v>1304</v>
      </c>
      <c r="B1063" s="12" t="n">
        <v>48</v>
      </c>
      <c r="C1063" s="12" t="s">
        <v>43</v>
      </c>
      <c r="D1063" s="12" t="s">
        <v>155</v>
      </c>
      <c r="E1063" s="12" t="s">
        <v>266</v>
      </c>
      <c r="F1063" s="12" t="s">
        <v>214</v>
      </c>
      <c r="G1063" s="12" t="s">
        <v>115</v>
      </c>
      <c r="H1063" s="12" t="s">
        <v>39</v>
      </c>
      <c r="I1063" s="12" t="n">
        <v>27</v>
      </c>
      <c r="J1063" s="12" t="s">
        <v>40</v>
      </c>
      <c r="K1063" s="12" t="s">
        <v>41</v>
      </c>
      <c r="L1063" s="12" t="str">
        <f aca="false">IF(OR(H1063="Severe",H1063="Life-Threatening"),"Yes","No")</f>
        <v>No</v>
      </c>
      <c r="M1063" s="12" t="str">
        <f aca="false">IF(B1063&lt;18,"0-17",IF(B1063&lt;40,"18-39",IF(B1063&lt;60,"40-59","60+")))</f>
        <v>40-59</v>
      </c>
      <c r="N1063" s="12" t="str">
        <f aca="false">IF(I1063&lt;=1,"0-1 days",IF(I1063&lt;=7,"2-7 days",IF(I1063&lt;=30,"8-30 days","&gt;30 days")))</f>
        <v>8-30 days</v>
      </c>
    </row>
    <row r="1064" customFormat="false" ht="15" hidden="false" customHeight="false" outlineLevel="0" collapsed="false">
      <c r="A1064" s="12" t="s">
        <v>1305</v>
      </c>
      <c r="B1064" s="12" t="n">
        <v>26</v>
      </c>
      <c r="C1064" s="12" t="s">
        <v>34</v>
      </c>
      <c r="D1064" s="12" t="s">
        <v>35</v>
      </c>
      <c r="E1064" s="12" t="s">
        <v>110</v>
      </c>
      <c r="F1064" s="12" t="s">
        <v>322</v>
      </c>
      <c r="G1064" s="12" t="s">
        <v>53</v>
      </c>
      <c r="H1064" s="12" t="s">
        <v>46</v>
      </c>
      <c r="I1064" s="12" t="n">
        <v>8</v>
      </c>
      <c r="J1064" s="12" t="s">
        <v>40</v>
      </c>
      <c r="K1064" s="12" t="s">
        <v>147</v>
      </c>
      <c r="L1064" s="12" t="str">
        <f aca="false">IF(OR(H1064="Severe",H1064="Life-Threatening"),"Yes","No")</f>
        <v>No</v>
      </c>
      <c r="M1064" s="12" t="str">
        <f aca="false">IF(B1064&lt;18,"0-17",IF(B1064&lt;40,"18-39",IF(B1064&lt;60,"40-59","60+")))</f>
        <v>18-39</v>
      </c>
      <c r="N1064" s="12" t="str">
        <f aca="false">IF(I1064&lt;=1,"0-1 days",IF(I1064&lt;=7,"2-7 days",IF(I1064&lt;=30,"8-30 days","&gt;30 days")))</f>
        <v>8-30 days</v>
      </c>
    </row>
    <row r="1065" customFormat="false" ht="15" hidden="false" customHeight="false" outlineLevel="0" collapsed="false">
      <c r="A1065" s="12" t="s">
        <v>1306</v>
      </c>
      <c r="B1065" s="12" t="n">
        <v>2</v>
      </c>
      <c r="C1065" s="12" t="s">
        <v>34</v>
      </c>
      <c r="D1065" s="12" t="s">
        <v>112</v>
      </c>
      <c r="E1065" s="12" t="s">
        <v>243</v>
      </c>
      <c r="F1065" s="12" t="s">
        <v>348</v>
      </c>
      <c r="G1065" s="12" t="s">
        <v>94</v>
      </c>
      <c r="H1065" s="12" t="s">
        <v>39</v>
      </c>
      <c r="I1065" s="12" t="n">
        <v>8</v>
      </c>
      <c r="J1065" s="12" t="s">
        <v>47</v>
      </c>
      <c r="K1065" s="12" t="s">
        <v>63</v>
      </c>
      <c r="L1065" s="12" t="str">
        <f aca="false">IF(OR(H1065="Severe",H1065="Life-Threatening"),"Yes","No")</f>
        <v>No</v>
      </c>
      <c r="M1065" s="12" t="str">
        <f aca="false">IF(B1065&lt;18,"0-17",IF(B1065&lt;40,"18-39",IF(B1065&lt;60,"40-59","60+")))</f>
        <v>0-17</v>
      </c>
      <c r="N1065" s="12" t="str">
        <f aca="false">IF(I1065&lt;=1,"0-1 days",IF(I1065&lt;=7,"2-7 days",IF(I1065&lt;=30,"8-30 days","&gt;30 days")))</f>
        <v>8-30 days</v>
      </c>
    </row>
    <row r="1066" customFormat="false" ht="15" hidden="false" customHeight="false" outlineLevel="0" collapsed="false">
      <c r="A1066" s="12" t="s">
        <v>1307</v>
      </c>
      <c r="B1066" s="12" t="n">
        <v>83</v>
      </c>
      <c r="C1066" s="12" t="s">
        <v>43</v>
      </c>
      <c r="D1066" s="12" t="s">
        <v>88</v>
      </c>
      <c r="E1066" s="12" t="s">
        <v>412</v>
      </c>
      <c r="F1066" s="12" t="s">
        <v>214</v>
      </c>
      <c r="G1066" s="12" t="s">
        <v>115</v>
      </c>
      <c r="H1066" s="12" t="s">
        <v>39</v>
      </c>
      <c r="I1066" s="12" t="n">
        <v>12</v>
      </c>
      <c r="J1066" s="12" t="s">
        <v>40</v>
      </c>
      <c r="K1066" s="12" t="s">
        <v>48</v>
      </c>
      <c r="L1066" s="12" t="str">
        <f aca="false">IF(OR(H1066="Severe",H1066="Life-Threatening"),"Yes","No")</f>
        <v>No</v>
      </c>
      <c r="M1066" s="12" t="str">
        <f aca="false">IF(B1066&lt;18,"0-17",IF(B1066&lt;40,"18-39",IF(B1066&lt;60,"40-59","60+")))</f>
        <v>60+</v>
      </c>
      <c r="N1066" s="12" t="str">
        <f aca="false">IF(I1066&lt;=1,"0-1 days",IF(I1066&lt;=7,"2-7 days",IF(I1066&lt;=30,"8-30 days","&gt;30 days")))</f>
        <v>8-30 days</v>
      </c>
    </row>
    <row r="1067" customFormat="false" ht="15" hidden="false" customHeight="false" outlineLevel="0" collapsed="false">
      <c r="A1067" s="12" t="s">
        <v>1308</v>
      </c>
      <c r="B1067" s="12" t="n">
        <v>54</v>
      </c>
      <c r="C1067" s="12" t="s">
        <v>34</v>
      </c>
      <c r="D1067" s="12" t="s">
        <v>117</v>
      </c>
      <c r="E1067" s="12" t="s">
        <v>304</v>
      </c>
      <c r="F1067" s="12" t="s">
        <v>165</v>
      </c>
      <c r="G1067" s="12" t="s">
        <v>53</v>
      </c>
      <c r="H1067" s="12" t="s">
        <v>46</v>
      </c>
      <c r="I1067" s="12" t="n">
        <v>18</v>
      </c>
      <c r="J1067" s="12" t="s">
        <v>40</v>
      </c>
      <c r="K1067" s="12" t="s">
        <v>63</v>
      </c>
      <c r="L1067" s="12" t="str">
        <f aca="false">IF(OR(H1067="Severe",H1067="Life-Threatening"),"Yes","No")</f>
        <v>No</v>
      </c>
      <c r="M1067" s="12" t="str">
        <f aca="false">IF(B1067&lt;18,"0-17",IF(B1067&lt;40,"18-39",IF(B1067&lt;60,"40-59","60+")))</f>
        <v>40-59</v>
      </c>
      <c r="N1067" s="12" t="str">
        <f aca="false">IF(I1067&lt;=1,"0-1 days",IF(I1067&lt;=7,"2-7 days",IF(I1067&lt;=30,"8-30 days","&gt;30 days")))</f>
        <v>8-30 days</v>
      </c>
    </row>
    <row r="1068" customFormat="false" ht="15" hidden="false" customHeight="false" outlineLevel="0" collapsed="false">
      <c r="A1068" s="12" t="s">
        <v>1309</v>
      </c>
      <c r="B1068" s="12" t="n">
        <v>47</v>
      </c>
      <c r="C1068" s="12" t="s">
        <v>43</v>
      </c>
      <c r="D1068" s="12" t="s">
        <v>194</v>
      </c>
      <c r="E1068" s="12" t="s">
        <v>61</v>
      </c>
      <c r="F1068" s="12" t="s">
        <v>62</v>
      </c>
      <c r="G1068" s="12" t="s">
        <v>53</v>
      </c>
      <c r="H1068" s="12" t="s">
        <v>46</v>
      </c>
      <c r="I1068" s="12" t="n">
        <v>5</v>
      </c>
      <c r="J1068" s="12" t="s">
        <v>47</v>
      </c>
      <c r="K1068" s="12" t="s">
        <v>41</v>
      </c>
      <c r="L1068" s="12" t="str">
        <f aca="false">IF(OR(H1068="Severe",H1068="Life-Threatening"),"Yes","No")</f>
        <v>No</v>
      </c>
      <c r="M1068" s="12" t="str">
        <f aca="false">IF(B1068&lt;18,"0-17",IF(B1068&lt;40,"18-39",IF(B1068&lt;60,"40-59","60+")))</f>
        <v>40-59</v>
      </c>
      <c r="N1068" s="12" t="str">
        <f aca="false">IF(I1068&lt;=1,"0-1 days",IF(I1068&lt;=7,"2-7 days",IF(I1068&lt;=30,"8-30 days","&gt;30 days")))</f>
        <v>2-7 days</v>
      </c>
    </row>
    <row r="1069" customFormat="false" ht="15" hidden="false" customHeight="false" outlineLevel="0" collapsed="false">
      <c r="A1069" s="12" t="s">
        <v>1310</v>
      </c>
      <c r="B1069" s="12" t="n">
        <v>61</v>
      </c>
      <c r="C1069" s="12" t="s">
        <v>34</v>
      </c>
      <c r="D1069" s="12" t="s">
        <v>69</v>
      </c>
      <c r="E1069" s="12" t="s">
        <v>386</v>
      </c>
      <c r="F1069" s="12" t="s">
        <v>62</v>
      </c>
      <c r="G1069" s="12" t="s">
        <v>53</v>
      </c>
      <c r="H1069" s="12" t="s">
        <v>39</v>
      </c>
      <c r="I1069" s="12" t="n">
        <v>21</v>
      </c>
      <c r="J1069" s="12" t="s">
        <v>169</v>
      </c>
      <c r="K1069" s="12" t="s">
        <v>48</v>
      </c>
      <c r="L1069" s="12" t="str">
        <f aca="false">IF(OR(H1069="Severe",H1069="Life-Threatening"),"Yes","No")</f>
        <v>No</v>
      </c>
      <c r="M1069" s="12" t="str">
        <f aca="false">IF(B1069&lt;18,"0-17",IF(B1069&lt;40,"18-39",IF(B1069&lt;60,"40-59","60+")))</f>
        <v>60+</v>
      </c>
      <c r="N1069" s="12" t="str">
        <f aca="false">IF(I1069&lt;=1,"0-1 days",IF(I1069&lt;=7,"2-7 days",IF(I1069&lt;=30,"8-30 days","&gt;30 days")))</f>
        <v>8-30 days</v>
      </c>
    </row>
    <row r="1070" customFormat="false" ht="15" hidden="false" customHeight="false" outlineLevel="0" collapsed="false">
      <c r="A1070" s="12" t="s">
        <v>1311</v>
      </c>
      <c r="B1070" s="12" t="n">
        <v>63</v>
      </c>
      <c r="C1070" s="12" t="s">
        <v>43</v>
      </c>
      <c r="D1070" s="12" t="s">
        <v>168</v>
      </c>
      <c r="E1070" s="12" t="s">
        <v>78</v>
      </c>
      <c r="F1070" s="12" t="s">
        <v>403</v>
      </c>
      <c r="G1070" s="12" t="s">
        <v>80</v>
      </c>
      <c r="H1070" s="12" t="s">
        <v>46</v>
      </c>
      <c r="I1070" s="12" t="n">
        <v>9</v>
      </c>
      <c r="J1070" s="12" t="s">
        <v>40</v>
      </c>
      <c r="K1070" s="12" t="s">
        <v>48</v>
      </c>
      <c r="L1070" s="12" t="str">
        <f aca="false">IF(OR(H1070="Severe",H1070="Life-Threatening"),"Yes","No")</f>
        <v>No</v>
      </c>
      <c r="M1070" s="12" t="str">
        <f aca="false">IF(B1070&lt;18,"0-17",IF(B1070&lt;40,"18-39",IF(B1070&lt;60,"40-59","60+")))</f>
        <v>60+</v>
      </c>
      <c r="N1070" s="12" t="str">
        <f aca="false">IF(I1070&lt;=1,"0-1 days",IF(I1070&lt;=7,"2-7 days",IF(I1070&lt;=30,"8-30 days","&gt;30 days")))</f>
        <v>8-30 days</v>
      </c>
    </row>
    <row r="1071" customFormat="false" ht="15" hidden="false" customHeight="false" outlineLevel="0" collapsed="false">
      <c r="A1071" s="12" t="s">
        <v>1312</v>
      </c>
      <c r="B1071" s="12" t="n">
        <v>54</v>
      </c>
      <c r="C1071" s="12" t="s">
        <v>43</v>
      </c>
      <c r="D1071" s="12" t="s">
        <v>245</v>
      </c>
      <c r="E1071" s="12" t="s">
        <v>36</v>
      </c>
      <c r="F1071" s="12" t="s">
        <v>364</v>
      </c>
      <c r="G1071" s="12" t="s">
        <v>38</v>
      </c>
      <c r="H1071" s="12" t="s">
        <v>59</v>
      </c>
      <c r="I1071" s="12" t="n">
        <v>10</v>
      </c>
      <c r="J1071" s="12" t="s">
        <v>169</v>
      </c>
      <c r="K1071" s="12" t="s">
        <v>48</v>
      </c>
      <c r="L1071" s="12" t="str">
        <f aca="false">IF(OR(H1071="Severe",H1071="Life-Threatening"),"Yes","No")</f>
        <v>Yes</v>
      </c>
      <c r="M1071" s="12" t="str">
        <f aca="false">IF(B1071&lt;18,"0-17",IF(B1071&lt;40,"18-39",IF(B1071&lt;60,"40-59","60+")))</f>
        <v>40-59</v>
      </c>
      <c r="N1071" s="12" t="str">
        <f aca="false">IF(I1071&lt;=1,"0-1 days",IF(I1071&lt;=7,"2-7 days",IF(I1071&lt;=30,"8-30 days","&gt;30 days")))</f>
        <v>8-30 days</v>
      </c>
    </row>
    <row r="1072" customFormat="false" ht="15" hidden="false" customHeight="false" outlineLevel="0" collapsed="false">
      <c r="A1072" s="12" t="s">
        <v>1313</v>
      </c>
      <c r="B1072" s="12" t="n">
        <v>29</v>
      </c>
      <c r="C1072" s="12" t="s">
        <v>34</v>
      </c>
      <c r="D1072" s="12" t="s">
        <v>155</v>
      </c>
      <c r="E1072" s="12" t="s">
        <v>304</v>
      </c>
      <c r="F1072" s="12" t="s">
        <v>305</v>
      </c>
      <c r="G1072" s="12" t="s">
        <v>177</v>
      </c>
      <c r="H1072" s="12" t="s">
        <v>39</v>
      </c>
      <c r="I1072" s="12" t="n">
        <v>28</v>
      </c>
      <c r="J1072" s="12" t="s">
        <v>47</v>
      </c>
      <c r="K1072" s="12" t="s">
        <v>147</v>
      </c>
      <c r="L1072" s="12" t="str">
        <f aca="false">IF(OR(H1072="Severe",H1072="Life-Threatening"),"Yes","No")</f>
        <v>No</v>
      </c>
      <c r="M1072" s="12" t="str">
        <f aca="false">IF(B1072&lt;18,"0-17",IF(B1072&lt;40,"18-39",IF(B1072&lt;60,"40-59","60+")))</f>
        <v>18-39</v>
      </c>
      <c r="N1072" s="12" t="str">
        <f aca="false">IF(I1072&lt;=1,"0-1 days",IF(I1072&lt;=7,"2-7 days",IF(I1072&lt;=30,"8-30 days","&gt;30 days")))</f>
        <v>8-30 days</v>
      </c>
    </row>
    <row r="1073" customFormat="false" ht="15" hidden="false" customHeight="false" outlineLevel="0" collapsed="false">
      <c r="A1073" s="12" t="s">
        <v>1314</v>
      </c>
      <c r="B1073" s="12" t="n">
        <v>9</v>
      </c>
      <c r="C1073" s="12" t="s">
        <v>43</v>
      </c>
      <c r="D1073" s="12" t="s">
        <v>234</v>
      </c>
      <c r="E1073" s="12" t="s">
        <v>261</v>
      </c>
      <c r="F1073" s="12" t="s">
        <v>221</v>
      </c>
      <c r="G1073" s="12" t="s">
        <v>94</v>
      </c>
      <c r="H1073" s="12" t="s">
        <v>76</v>
      </c>
      <c r="I1073" s="12" t="n">
        <v>0</v>
      </c>
      <c r="J1073" s="12" t="s">
        <v>67</v>
      </c>
      <c r="K1073" s="12" t="s">
        <v>63</v>
      </c>
      <c r="L1073" s="12" t="str">
        <f aca="false">IF(OR(H1073="Severe",H1073="Life-Threatening"),"Yes","No")</f>
        <v>Yes</v>
      </c>
      <c r="M1073" s="12" t="str">
        <f aca="false">IF(B1073&lt;18,"0-17",IF(B1073&lt;40,"18-39",IF(B1073&lt;60,"40-59","60+")))</f>
        <v>0-17</v>
      </c>
      <c r="N1073" s="12" t="str">
        <f aca="false">IF(I1073&lt;=1,"0-1 days",IF(I1073&lt;=7,"2-7 days",IF(I1073&lt;=30,"8-30 days","&gt;30 days")))</f>
        <v>0-1 days</v>
      </c>
    </row>
    <row r="1074" customFormat="false" ht="15" hidden="false" customHeight="false" outlineLevel="0" collapsed="false">
      <c r="A1074" s="12" t="s">
        <v>1315</v>
      </c>
      <c r="B1074" s="12" t="n">
        <v>7</v>
      </c>
      <c r="C1074" s="12" t="s">
        <v>43</v>
      </c>
      <c r="D1074" s="12" t="s">
        <v>35</v>
      </c>
      <c r="E1074" s="12" t="s">
        <v>173</v>
      </c>
      <c r="F1074" s="12" t="s">
        <v>214</v>
      </c>
      <c r="G1074" s="12" t="s">
        <v>115</v>
      </c>
      <c r="H1074" s="12" t="s">
        <v>39</v>
      </c>
      <c r="I1074" s="12" t="n">
        <v>15</v>
      </c>
      <c r="J1074" s="12" t="s">
        <v>47</v>
      </c>
      <c r="K1074" s="12" t="s">
        <v>63</v>
      </c>
      <c r="L1074" s="12" t="str">
        <f aca="false">IF(OR(H1074="Severe",H1074="Life-Threatening"),"Yes","No")</f>
        <v>No</v>
      </c>
      <c r="M1074" s="12" t="str">
        <f aca="false">IF(B1074&lt;18,"0-17",IF(B1074&lt;40,"18-39",IF(B1074&lt;60,"40-59","60+")))</f>
        <v>0-17</v>
      </c>
      <c r="N1074" s="12" t="str">
        <f aca="false">IF(I1074&lt;=1,"0-1 days",IF(I1074&lt;=7,"2-7 days",IF(I1074&lt;=30,"8-30 days","&gt;30 days")))</f>
        <v>8-30 days</v>
      </c>
    </row>
    <row r="1075" customFormat="false" ht="15" hidden="false" customHeight="false" outlineLevel="0" collapsed="false">
      <c r="A1075" s="12" t="s">
        <v>1316</v>
      </c>
      <c r="B1075" s="12" t="n">
        <v>59</v>
      </c>
      <c r="C1075" s="12" t="s">
        <v>34</v>
      </c>
      <c r="D1075" s="12" t="s">
        <v>168</v>
      </c>
      <c r="E1075" s="12" t="s">
        <v>188</v>
      </c>
      <c r="F1075" s="12" t="s">
        <v>403</v>
      </c>
      <c r="G1075" s="12" t="s">
        <v>80</v>
      </c>
      <c r="H1075" s="12" t="s">
        <v>46</v>
      </c>
      <c r="I1075" s="12" t="n">
        <v>15</v>
      </c>
      <c r="J1075" s="12" t="s">
        <v>40</v>
      </c>
      <c r="K1075" s="12" t="s">
        <v>48</v>
      </c>
      <c r="L1075" s="12" t="str">
        <f aca="false">IF(OR(H1075="Severe",H1075="Life-Threatening"),"Yes","No")</f>
        <v>No</v>
      </c>
      <c r="M1075" s="12" t="str">
        <f aca="false">IF(B1075&lt;18,"0-17",IF(B1075&lt;40,"18-39",IF(B1075&lt;60,"40-59","60+")))</f>
        <v>40-59</v>
      </c>
      <c r="N1075" s="12" t="str">
        <f aca="false">IF(I1075&lt;=1,"0-1 days",IF(I1075&lt;=7,"2-7 days",IF(I1075&lt;=30,"8-30 days","&gt;30 days")))</f>
        <v>8-30 days</v>
      </c>
    </row>
    <row r="1076" customFormat="false" ht="15" hidden="false" customHeight="false" outlineLevel="0" collapsed="false">
      <c r="A1076" s="12" t="s">
        <v>1317</v>
      </c>
      <c r="B1076" s="12" t="n">
        <v>49</v>
      </c>
      <c r="C1076" s="12" t="s">
        <v>34</v>
      </c>
      <c r="D1076" s="12" t="s">
        <v>55</v>
      </c>
      <c r="E1076" s="12" t="s">
        <v>227</v>
      </c>
      <c r="F1076" s="12" t="s">
        <v>214</v>
      </c>
      <c r="G1076" s="12" t="s">
        <v>115</v>
      </c>
      <c r="H1076" s="12" t="s">
        <v>39</v>
      </c>
      <c r="I1076" s="12" t="n">
        <v>20</v>
      </c>
      <c r="J1076" s="12" t="s">
        <v>40</v>
      </c>
      <c r="K1076" s="12" t="s">
        <v>63</v>
      </c>
      <c r="L1076" s="12" t="str">
        <f aca="false">IF(OR(H1076="Severe",H1076="Life-Threatening"),"Yes","No")</f>
        <v>No</v>
      </c>
      <c r="M1076" s="12" t="str">
        <f aca="false">IF(B1076&lt;18,"0-17",IF(B1076&lt;40,"18-39",IF(B1076&lt;60,"40-59","60+")))</f>
        <v>40-59</v>
      </c>
      <c r="N1076" s="12" t="str">
        <f aca="false">IF(I1076&lt;=1,"0-1 days",IF(I1076&lt;=7,"2-7 days",IF(I1076&lt;=30,"8-30 days","&gt;30 days")))</f>
        <v>8-30 days</v>
      </c>
    </row>
    <row r="1077" customFormat="false" ht="15" hidden="false" customHeight="false" outlineLevel="0" collapsed="false">
      <c r="A1077" s="12" t="s">
        <v>1318</v>
      </c>
      <c r="B1077" s="12" t="n">
        <v>60</v>
      </c>
      <c r="C1077" s="12" t="s">
        <v>43</v>
      </c>
      <c r="D1077" s="12" t="s">
        <v>55</v>
      </c>
      <c r="E1077" s="12" t="s">
        <v>495</v>
      </c>
      <c r="F1077" s="12" t="s">
        <v>364</v>
      </c>
      <c r="G1077" s="12" t="s">
        <v>38</v>
      </c>
      <c r="H1077" s="12" t="s">
        <v>76</v>
      </c>
      <c r="I1077" s="12" t="n">
        <v>8</v>
      </c>
      <c r="J1077" s="12" t="s">
        <v>40</v>
      </c>
      <c r="K1077" s="12" t="s">
        <v>147</v>
      </c>
      <c r="L1077" s="12" t="str">
        <f aca="false">IF(OR(H1077="Severe",H1077="Life-Threatening"),"Yes","No")</f>
        <v>Yes</v>
      </c>
      <c r="M1077" s="12" t="str">
        <f aca="false">IF(B1077&lt;18,"0-17",IF(B1077&lt;40,"18-39",IF(B1077&lt;60,"40-59","60+")))</f>
        <v>60+</v>
      </c>
      <c r="N1077" s="12" t="str">
        <f aca="false">IF(I1077&lt;=1,"0-1 days",IF(I1077&lt;=7,"2-7 days",IF(I1077&lt;=30,"8-30 days","&gt;30 days")))</f>
        <v>8-30 days</v>
      </c>
    </row>
    <row r="1078" customFormat="false" ht="15" hidden="false" customHeight="false" outlineLevel="0" collapsed="false">
      <c r="A1078" s="12" t="s">
        <v>1319</v>
      </c>
      <c r="B1078" s="12" t="n">
        <v>21</v>
      </c>
      <c r="C1078" s="12" t="s">
        <v>43</v>
      </c>
      <c r="D1078" s="12" t="s">
        <v>35</v>
      </c>
      <c r="E1078" s="12" t="s">
        <v>134</v>
      </c>
      <c r="F1078" s="12" t="s">
        <v>254</v>
      </c>
      <c r="G1078" s="12" t="s">
        <v>136</v>
      </c>
      <c r="H1078" s="12" t="s">
        <v>39</v>
      </c>
      <c r="I1078" s="12" t="n">
        <v>39</v>
      </c>
      <c r="J1078" s="12" t="s">
        <v>47</v>
      </c>
      <c r="K1078" s="12" t="s">
        <v>41</v>
      </c>
      <c r="L1078" s="12" t="str">
        <f aca="false">IF(OR(H1078="Severe",H1078="Life-Threatening"),"Yes","No")</f>
        <v>No</v>
      </c>
      <c r="M1078" s="12" t="str">
        <f aca="false">IF(B1078&lt;18,"0-17",IF(B1078&lt;40,"18-39",IF(B1078&lt;60,"40-59","60+")))</f>
        <v>18-39</v>
      </c>
      <c r="N1078" s="12" t="str">
        <f aca="false">IF(I1078&lt;=1,"0-1 days",IF(I1078&lt;=7,"2-7 days",IF(I1078&lt;=30,"8-30 days","&gt;30 days")))</f>
        <v>&gt;30 days</v>
      </c>
    </row>
    <row r="1079" customFormat="false" ht="15" hidden="false" customHeight="false" outlineLevel="0" collapsed="false">
      <c r="A1079" s="12" t="s">
        <v>1320</v>
      </c>
      <c r="B1079" s="12" t="n">
        <v>48</v>
      </c>
      <c r="C1079" s="12" t="s">
        <v>43</v>
      </c>
      <c r="D1079" s="12" t="s">
        <v>35</v>
      </c>
      <c r="E1079" s="12" t="s">
        <v>181</v>
      </c>
      <c r="F1079" s="12" t="s">
        <v>37</v>
      </c>
      <c r="G1079" s="12" t="s">
        <v>38</v>
      </c>
      <c r="H1079" s="12" t="s">
        <v>39</v>
      </c>
      <c r="I1079" s="12" t="n">
        <v>12</v>
      </c>
      <c r="J1079" s="12" t="s">
        <v>47</v>
      </c>
      <c r="K1079" s="12" t="s">
        <v>48</v>
      </c>
      <c r="L1079" s="12" t="str">
        <f aca="false">IF(OR(H1079="Severe",H1079="Life-Threatening"),"Yes","No")</f>
        <v>No</v>
      </c>
      <c r="M1079" s="12" t="str">
        <f aca="false">IF(B1079&lt;18,"0-17",IF(B1079&lt;40,"18-39",IF(B1079&lt;60,"40-59","60+")))</f>
        <v>40-59</v>
      </c>
      <c r="N1079" s="12" t="str">
        <f aca="false">IF(I1079&lt;=1,"0-1 days",IF(I1079&lt;=7,"2-7 days",IF(I1079&lt;=30,"8-30 days","&gt;30 days")))</f>
        <v>8-30 days</v>
      </c>
    </row>
    <row r="1080" customFormat="false" ht="15" hidden="false" customHeight="false" outlineLevel="0" collapsed="false">
      <c r="A1080" s="12" t="s">
        <v>1321</v>
      </c>
      <c r="B1080" s="12" t="n">
        <v>12</v>
      </c>
      <c r="C1080" s="12" t="s">
        <v>34</v>
      </c>
      <c r="D1080" s="12" t="s">
        <v>190</v>
      </c>
      <c r="E1080" s="12" t="s">
        <v>261</v>
      </c>
      <c r="F1080" s="12" t="s">
        <v>221</v>
      </c>
      <c r="G1080" s="12" t="s">
        <v>94</v>
      </c>
      <c r="H1080" s="12" t="s">
        <v>39</v>
      </c>
      <c r="I1080" s="12" t="n">
        <v>0</v>
      </c>
      <c r="J1080" s="12" t="s">
        <v>40</v>
      </c>
      <c r="K1080" s="12" t="s">
        <v>147</v>
      </c>
      <c r="L1080" s="12" t="str">
        <f aca="false">IF(OR(H1080="Severe",H1080="Life-Threatening"),"Yes","No")</f>
        <v>No</v>
      </c>
      <c r="M1080" s="12" t="str">
        <f aca="false">IF(B1080&lt;18,"0-17",IF(B1080&lt;40,"18-39",IF(B1080&lt;60,"40-59","60+")))</f>
        <v>0-17</v>
      </c>
      <c r="N1080" s="12" t="str">
        <f aca="false">IF(I1080&lt;=1,"0-1 days",IF(I1080&lt;=7,"2-7 days",IF(I1080&lt;=30,"8-30 days","&gt;30 days")))</f>
        <v>0-1 days</v>
      </c>
    </row>
    <row r="1081" customFormat="false" ht="15" hidden="false" customHeight="false" outlineLevel="0" collapsed="false">
      <c r="A1081" s="12" t="s">
        <v>1322</v>
      </c>
      <c r="B1081" s="12" t="n">
        <v>52</v>
      </c>
      <c r="C1081" s="12" t="s">
        <v>43</v>
      </c>
      <c r="D1081" s="12" t="s">
        <v>69</v>
      </c>
      <c r="E1081" s="12" t="s">
        <v>407</v>
      </c>
      <c r="F1081" s="12" t="s">
        <v>62</v>
      </c>
      <c r="G1081" s="12" t="s">
        <v>53</v>
      </c>
      <c r="H1081" s="12" t="s">
        <v>39</v>
      </c>
      <c r="I1081" s="12" t="n">
        <v>29</v>
      </c>
      <c r="J1081" s="12" t="s">
        <v>40</v>
      </c>
      <c r="K1081" s="12" t="s">
        <v>48</v>
      </c>
      <c r="L1081" s="12" t="str">
        <f aca="false">IF(OR(H1081="Severe",H1081="Life-Threatening"),"Yes","No")</f>
        <v>No</v>
      </c>
      <c r="M1081" s="12" t="str">
        <f aca="false">IF(B1081&lt;18,"0-17",IF(B1081&lt;40,"18-39",IF(B1081&lt;60,"40-59","60+")))</f>
        <v>40-59</v>
      </c>
      <c r="N1081" s="12" t="str">
        <f aca="false">IF(I1081&lt;=1,"0-1 days",IF(I1081&lt;=7,"2-7 days",IF(I1081&lt;=30,"8-30 days","&gt;30 days")))</f>
        <v>8-30 days</v>
      </c>
    </row>
    <row r="1082" customFormat="false" ht="15" hidden="false" customHeight="false" outlineLevel="0" collapsed="false">
      <c r="A1082" s="12" t="s">
        <v>1323</v>
      </c>
      <c r="B1082" s="12" t="n">
        <v>75</v>
      </c>
      <c r="C1082" s="12" t="s">
        <v>43</v>
      </c>
      <c r="D1082" s="12" t="s">
        <v>35</v>
      </c>
      <c r="E1082" s="12" t="s">
        <v>134</v>
      </c>
      <c r="F1082" s="12" t="s">
        <v>135</v>
      </c>
      <c r="G1082" s="12" t="s">
        <v>136</v>
      </c>
      <c r="H1082" s="12" t="s">
        <v>39</v>
      </c>
      <c r="I1082" s="12" t="n">
        <v>20</v>
      </c>
      <c r="J1082" s="12" t="s">
        <v>47</v>
      </c>
      <c r="K1082" s="12" t="s">
        <v>63</v>
      </c>
      <c r="L1082" s="12" t="str">
        <f aca="false">IF(OR(H1082="Severe",H1082="Life-Threatening"),"Yes","No")</f>
        <v>No</v>
      </c>
      <c r="M1082" s="12" t="str">
        <f aca="false">IF(B1082&lt;18,"0-17",IF(B1082&lt;40,"18-39",IF(B1082&lt;60,"40-59","60+")))</f>
        <v>60+</v>
      </c>
      <c r="N1082" s="12" t="str">
        <f aca="false">IF(I1082&lt;=1,"0-1 days",IF(I1082&lt;=7,"2-7 days",IF(I1082&lt;=30,"8-30 days","&gt;30 days")))</f>
        <v>8-30 days</v>
      </c>
    </row>
    <row r="1083" customFormat="false" ht="15" hidden="false" customHeight="false" outlineLevel="0" collapsed="false">
      <c r="A1083" s="12" t="s">
        <v>1324</v>
      </c>
      <c r="B1083" s="12" t="n">
        <v>71</v>
      </c>
      <c r="C1083" s="12" t="s">
        <v>43</v>
      </c>
      <c r="D1083" s="12" t="s">
        <v>126</v>
      </c>
      <c r="E1083" s="12" t="s">
        <v>173</v>
      </c>
      <c r="F1083" s="12" t="s">
        <v>131</v>
      </c>
      <c r="G1083" s="12" t="s">
        <v>94</v>
      </c>
      <c r="H1083" s="12" t="s">
        <v>39</v>
      </c>
      <c r="I1083" s="12" t="n">
        <v>15</v>
      </c>
      <c r="J1083" s="12" t="s">
        <v>40</v>
      </c>
      <c r="K1083" s="12" t="s">
        <v>48</v>
      </c>
      <c r="L1083" s="12" t="str">
        <f aca="false">IF(OR(H1083="Severe",H1083="Life-Threatening"),"Yes","No")</f>
        <v>No</v>
      </c>
      <c r="M1083" s="12" t="str">
        <f aca="false">IF(B1083&lt;18,"0-17",IF(B1083&lt;40,"18-39",IF(B1083&lt;60,"40-59","60+")))</f>
        <v>60+</v>
      </c>
      <c r="N1083" s="12" t="str">
        <f aca="false">IF(I1083&lt;=1,"0-1 days",IF(I1083&lt;=7,"2-7 days",IF(I1083&lt;=30,"8-30 days","&gt;30 days")))</f>
        <v>8-30 days</v>
      </c>
    </row>
    <row r="1084" customFormat="false" ht="15" hidden="false" customHeight="false" outlineLevel="0" collapsed="false">
      <c r="A1084" s="12" t="s">
        <v>1325</v>
      </c>
      <c r="B1084" s="12" t="n">
        <v>64</v>
      </c>
      <c r="C1084" s="12" t="s">
        <v>34</v>
      </c>
      <c r="D1084" s="12" t="s">
        <v>168</v>
      </c>
      <c r="E1084" s="12" t="s">
        <v>173</v>
      </c>
      <c r="F1084" s="12" t="s">
        <v>114</v>
      </c>
      <c r="G1084" s="12" t="s">
        <v>115</v>
      </c>
      <c r="H1084" s="12" t="s">
        <v>59</v>
      </c>
      <c r="I1084" s="12" t="n">
        <v>41</v>
      </c>
      <c r="J1084" s="12" t="s">
        <v>169</v>
      </c>
      <c r="K1084" s="12" t="s">
        <v>63</v>
      </c>
      <c r="L1084" s="12" t="str">
        <f aca="false">IF(OR(H1084="Severe",H1084="Life-Threatening"),"Yes","No")</f>
        <v>Yes</v>
      </c>
      <c r="M1084" s="12" t="str">
        <f aca="false">IF(B1084&lt;18,"0-17",IF(B1084&lt;40,"18-39",IF(B1084&lt;60,"40-59","60+")))</f>
        <v>60+</v>
      </c>
      <c r="N1084" s="12" t="str">
        <f aca="false">IF(I1084&lt;=1,"0-1 days",IF(I1084&lt;=7,"2-7 days",IF(I1084&lt;=30,"8-30 days","&gt;30 days")))</f>
        <v>&gt;30 days</v>
      </c>
    </row>
    <row r="1085" customFormat="false" ht="15" hidden="false" customHeight="false" outlineLevel="0" collapsed="false">
      <c r="A1085" s="12" t="s">
        <v>1326</v>
      </c>
      <c r="B1085" s="12" t="n">
        <v>39</v>
      </c>
      <c r="C1085" s="12" t="s">
        <v>34</v>
      </c>
      <c r="D1085" s="12" t="s">
        <v>112</v>
      </c>
      <c r="E1085" s="12" t="s">
        <v>369</v>
      </c>
      <c r="F1085" s="12" t="s">
        <v>743</v>
      </c>
      <c r="G1085" s="12" t="s">
        <v>53</v>
      </c>
      <c r="H1085" s="12" t="s">
        <v>39</v>
      </c>
      <c r="I1085" s="12" t="n">
        <v>25</v>
      </c>
      <c r="J1085" s="12" t="s">
        <v>40</v>
      </c>
      <c r="K1085" s="12" t="s">
        <v>63</v>
      </c>
      <c r="L1085" s="12" t="str">
        <f aca="false">IF(OR(H1085="Severe",H1085="Life-Threatening"),"Yes","No")</f>
        <v>No</v>
      </c>
      <c r="M1085" s="12" t="str">
        <f aca="false">IF(B1085&lt;18,"0-17",IF(B1085&lt;40,"18-39",IF(B1085&lt;60,"40-59","60+")))</f>
        <v>18-39</v>
      </c>
      <c r="N1085" s="12" t="str">
        <f aca="false">IF(I1085&lt;=1,"0-1 days",IF(I1085&lt;=7,"2-7 days",IF(I1085&lt;=30,"8-30 days","&gt;30 days")))</f>
        <v>8-30 days</v>
      </c>
    </row>
    <row r="1086" customFormat="false" ht="15" hidden="false" customHeight="false" outlineLevel="0" collapsed="false">
      <c r="A1086" s="12" t="s">
        <v>1327</v>
      </c>
      <c r="B1086" s="12" t="n">
        <v>41</v>
      </c>
      <c r="C1086" s="12" t="s">
        <v>34</v>
      </c>
      <c r="D1086" s="12" t="s">
        <v>99</v>
      </c>
      <c r="E1086" s="12" t="s">
        <v>369</v>
      </c>
      <c r="F1086" s="12" t="s">
        <v>743</v>
      </c>
      <c r="G1086" s="12" t="s">
        <v>53</v>
      </c>
      <c r="H1086" s="12" t="s">
        <v>39</v>
      </c>
      <c r="I1086" s="12" t="n">
        <v>10</v>
      </c>
      <c r="J1086" s="12" t="s">
        <v>40</v>
      </c>
      <c r="K1086" s="12" t="s">
        <v>147</v>
      </c>
      <c r="L1086" s="12" t="str">
        <f aca="false">IF(OR(H1086="Severe",H1086="Life-Threatening"),"Yes","No")</f>
        <v>No</v>
      </c>
      <c r="M1086" s="12" t="str">
        <f aca="false">IF(B1086&lt;18,"0-17",IF(B1086&lt;40,"18-39",IF(B1086&lt;60,"40-59","60+")))</f>
        <v>40-59</v>
      </c>
      <c r="N1086" s="12" t="str">
        <f aca="false">IF(I1086&lt;=1,"0-1 days",IF(I1086&lt;=7,"2-7 days",IF(I1086&lt;=30,"8-30 days","&gt;30 days")))</f>
        <v>8-30 days</v>
      </c>
    </row>
    <row r="1087" customFormat="false" ht="15" hidden="false" customHeight="false" outlineLevel="0" collapsed="false">
      <c r="A1087" s="12" t="s">
        <v>1328</v>
      </c>
      <c r="B1087" s="12" t="n">
        <v>64</v>
      </c>
      <c r="C1087" s="12" t="s">
        <v>34</v>
      </c>
      <c r="D1087" s="12" t="s">
        <v>88</v>
      </c>
      <c r="E1087" s="12" t="s">
        <v>56</v>
      </c>
      <c r="F1087" s="12" t="s">
        <v>100</v>
      </c>
      <c r="G1087" s="12" t="s">
        <v>72</v>
      </c>
      <c r="H1087" s="12" t="s">
        <v>46</v>
      </c>
      <c r="I1087" s="12" t="n">
        <v>15</v>
      </c>
      <c r="J1087" s="12" t="s">
        <v>40</v>
      </c>
      <c r="K1087" s="12" t="s">
        <v>48</v>
      </c>
      <c r="L1087" s="12" t="str">
        <f aca="false">IF(OR(H1087="Severe",H1087="Life-Threatening"),"Yes","No")</f>
        <v>No</v>
      </c>
      <c r="M1087" s="12" t="str">
        <f aca="false">IF(B1087&lt;18,"0-17",IF(B1087&lt;40,"18-39",IF(B1087&lt;60,"40-59","60+")))</f>
        <v>60+</v>
      </c>
      <c r="N1087" s="12" t="str">
        <f aca="false">IF(I1087&lt;=1,"0-1 days",IF(I1087&lt;=7,"2-7 days",IF(I1087&lt;=30,"8-30 days","&gt;30 days")))</f>
        <v>8-30 days</v>
      </c>
    </row>
    <row r="1088" customFormat="false" ht="15" hidden="false" customHeight="false" outlineLevel="0" collapsed="false">
      <c r="A1088" s="12" t="s">
        <v>1329</v>
      </c>
      <c r="B1088" s="12" t="n">
        <v>29</v>
      </c>
      <c r="C1088" s="12" t="s">
        <v>43</v>
      </c>
      <c r="D1088" s="12" t="s">
        <v>155</v>
      </c>
      <c r="E1088" s="12" t="s">
        <v>61</v>
      </c>
      <c r="F1088" s="12" t="s">
        <v>62</v>
      </c>
      <c r="G1088" s="12" t="s">
        <v>53</v>
      </c>
      <c r="H1088" s="12" t="s">
        <v>39</v>
      </c>
      <c r="I1088" s="12" t="n">
        <v>15</v>
      </c>
      <c r="J1088" s="12" t="s">
        <v>47</v>
      </c>
      <c r="K1088" s="12" t="s">
        <v>147</v>
      </c>
      <c r="L1088" s="12" t="str">
        <f aca="false">IF(OR(H1088="Severe",H1088="Life-Threatening"),"Yes","No")</f>
        <v>No</v>
      </c>
      <c r="M1088" s="12" t="str">
        <f aca="false">IF(B1088&lt;18,"0-17",IF(B1088&lt;40,"18-39",IF(B1088&lt;60,"40-59","60+")))</f>
        <v>18-39</v>
      </c>
      <c r="N1088" s="12" t="str">
        <f aca="false">IF(I1088&lt;=1,"0-1 days",IF(I1088&lt;=7,"2-7 days",IF(I1088&lt;=30,"8-30 days","&gt;30 days")))</f>
        <v>8-30 days</v>
      </c>
    </row>
    <row r="1089" customFormat="false" ht="15" hidden="false" customHeight="false" outlineLevel="0" collapsed="false">
      <c r="A1089" s="12" t="s">
        <v>1330</v>
      </c>
      <c r="B1089" s="12" t="n">
        <v>55</v>
      </c>
      <c r="C1089" s="12" t="s">
        <v>34</v>
      </c>
      <c r="D1089" s="12" t="s">
        <v>211</v>
      </c>
      <c r="E1089" s="12" t="s">
        <v>89</v>
      </c>
      <c r="F1089" s="12" t="s">
        <v>37</v>
      </c>
      <c r="G1089" s="12" t="s">
        <v>38</v>
      </c>
      <c r="H1089" s="12" t="s">
        <v>46</v>
      </c>
      <c r="I1089" s="12" t="n">
        <v>14</v>
      </c>
      <c r="J1089" s="12" t="s">
        <v>40</v>
      </c>
      <c r="K1089" s="12" t="s">
        <v>63</v>
      </c>
      <c r="L1089" s="12" t="str">
        <f aca="false">IF(OR(H1089="Severe",H1089="Life-Threatening"),"Yes","No")</f>
        <v>No</v>
      </c>
      <c r="M1089" s="12" t="str">
        <f aca="false">IF(B1089&lt;18,"0-17",IF(B1089&lt;40,"18-39",IF(B1089&lt;60,"40-59","60+")))</f>
        <v>40-59</v>
      </c>
      <c r="N1089" s="12" t="str">
        <f aca="false">IF(I1089&lt;=1,"0-1 days",IF(I1089&lt;=7,"2-7 days",IF(I1089&lt;=30,"8-30 days","&gt;30 days")))</f>
        <v>8-30 days</v>
      </c>
    </row>
    <row r="1090" customFormat="false" ht="15" hidden="false" customHeight="false" outlineLevel="0" collapsed="false">
      <c r="A1090" s="12" t="s">
        <v>1331</v>
      </c>
      <c r="B1090" s="12" t="n">
        <v>55</v>
      </c>
      <c r="C1090" s="12" t="s">
        <v>43</v>
      </c>
      <c r="D1090" s="12" t="s">
        <v>35</v>
      </c>
      <c r="E1090" s="12" t="s">
        <v>256</v>
      </c>
      <c r="F1090" s="12" t="s">
        <v>264</v>
      </c>
      <c r="G1090" s="12" t="s">
        <v>104</v>
      </c>
      <c r="H1090" s="12" t="s">
        <v>76</v>
      </c>
      <c r="I1090" s="12" t="n">
        <v>13</v>
      </c>
      <c r="J1090" s="12" t="s">
        <v>40</v>
      </c>
      <c r="K1090" s="12" t="s">
        <v>63</v>
      </c>
      <c r="L1090" s="12" t="str">
        <f aca="false">IF(OR(H1090="Severe",H1090="Life-Threatening"),"Yes","No")</f>
        <v>Yes</v>
      </c>
      <c r="M1090" s="12" t="str">
        <f aca="false">IF(B1090&lt;18,"0-17",IF(B1090&lt;40,"18-39",IF(B1090&lt;60,"40-59","60+")))</f>
        <v>40-59</v>
      </c>
      <c r="N1090" s="12" t="str">
        <f aca="false">IF(I1090&lt;=1,"0-1 days",IF(I1090&lt;=7,"2-7 days",IF(I1090&lt;=30,"8-30 days","&gt;30 days")))</f>
        <v>8-30 days</v>
      </c>
    </row>
    <row r="1091" customFormat="false" ht="15" hidden="false" customHeight="false" outlineLevel="0" collapsed="false">
      <c r="A1091" s="12" t="s">
        <v>1332</v>
      </c>
      <c r="B1091" s="12" t="n">
        <v>53</v>
      </c>
      <c r="C1091" s="12" t="s">
        <v>43</v>
      </c>
      <c r="D1091" s="12" t="s">
        <v>327</v>
      </c>
      <c r="E1091" s="12" t="s">
        <v>301</v>
      </c>
      <c r="F1091" s="12" t="s">
        <v>103</v>
      </c>
      <c r="G1091" s="12" t="s">
        <v>104</v>
      </c>
      <c r="H1091" s="12" t="s">
        <v>76</v>
      </c>
      <c r="I1091" s="12" t="n">
        <v>31</v>
      </c>
      <c r="J1091" s="12" t="s">
        <v>105</v>
      </c>
      <c r="K1091" s="12" t="s">
        <v>63</v>
      </c>
      <c r="L1091" s="12" t="str">
        <f aca="false">IF(OR(H1091="Severe",H1091="Life-Threatening"),"Yes","No")</f>
        <v>Yes</v>
      </c>
      <c r="M1091" s="12" t="str">
        <f aca="false">IF(B1091&lt;18,"0-17",IF(B1091&lt;40,"18-39",IF(B1091&lt;60,"40-59","60+")))</f>
        <v>40-59</v>
      </c>
      <c r="N1091" s="12" t="str">
        <f aca="false">IF(I1091&lt;=1,"0-1 days",IF(I1091&lt;=7,"2-7 days",IF(I1091&lt;=30,"8-30 days","&gt;30 days")))</f>
        <v>&gt;30 days</v>
      </c>
    </row>
    <row r="1092" customFormat="false" ht="15" hidden="false" customHeight="false" outlineLevel="0" collapsed="false">
      <c r="A1092" s="12" t="s">
        <v>1333</v>
      </c>
      <c r="B1092" s="12" t="n">
        <v>13</v>
      </c>
      <c r="C1092" s="12" t="s">
        <v>34</v>
      </c>
      <c r="D1092" s="12" t="s">
        <v>155</v>
      </c>
      <c r="E1092" s="12" t="s">
        <v>376</v>
      </c>
      <c r="F1092" s="12" t="s">
        <v>62</v>
      </c>
      <c r="G1092" s="12" t="s">
        <v>53</v>
      </c>
      <c r="H1092" s="12" t="s">
        <v>46</v>
      </c>
      <c r="I1092" s="12" t="n">
        <v>15</v>
      </c>
      <c r="J1092" s="12" t="s">
        <v>40</v>
      </c>
      <c r="K1092" s="12" t="s">
        <v>63</v>
      </c>
      <c r="L1092" s="12" t="str">
        <f aca="false">IF(OR(H1092="Severe",H1092="Life-Threatening"),"Yes","No")</f>
        <v>No</v>
      </c>
      <c r="M1092" s="12" t="str">
        <f aca="false">IF(B1092&lt;18,"0-17",IF(B1092&lt;40,"18-39",IF(B1092&lt;60,"40-59","60+")))</f>
        <v>0-17</v>
      </c>
      <c r="N1092" s="12" t="str">
        <f aca="false">IF(I1092&lt;=1,"0-1 days",IF(I1092&lt;=7,"2-7 days",IF(I1092&lt;=30,"8-30 days","&gt;30 days")))</f>
        <v>8-30 days</v>
      </c>
    </row>
    <row r="1093" customFormat="false" ht="15" hidden="false" customHeight="false" outlineLevel="0" collapsed="false">
      <c r="A1093" s="12" t="s">
        <v>1334</v>
      </c>
      <c r="B1093" s="12" t="n">
        <v>42</v>
      </c>
      <c r="C1093" s="12" t="s">
        <v>34</v>
      </c>
      <c r="D1093" s="12" t="s">
        <v>102</v>
      </c>
      <c r="E1093" s="12" t="s">
        <v>191</v>
      </c>
      <c r="F1093" s="12" t="s">
        <v>45</v>
      </c>
      <c r="G1093" s="12" t="s">
        <v>38</v>
      </c>
      <c r="H1093" s="12" t="s">
        <v>46</v>
      </c>
      <c r="I1093" s="12" t="n">
        <v>14</v>
      </c>
      <c r="J1093" s="12" t="s">
        <v>47</v>
      </c>
      <c r="K1093" s="12" t="s">
        <v>63</v>
      </c>
      <c r="L1093" s="12" t="str">
        <f aca="false">IF(OR(H1093="Severe",H1093="Life-Threatening"),"Yes","No")</f>
        <v>No</v>
      </c>
      <c r="M1093" s="12" t="str">
        <f aca="false">IF(B1093&lt;18,"0-17",IF(B1093&lt;40,"18-39",IF(B1093&lt;60,"40-59","60+")))</f>
        <v>40-59</v>
      </c>
      <c r="N1093" s="12" t="str">
        <f aca="false">IF(I1093&lt;=1,"0-1 days",IF(I1093&lt;=7,"2-7 days",IF(I1093&lt;=30,"8-30 days","&gt;30 days")))</f>
        <v>8-30 days</v>
      </c>
    </row>
    <row r="1094" customFormat="false" ht="15" hidden="false" customHeight="false" outlineLevel="0" collapsed="false">
      <c r="A1094" s="12" t="s">
        <v>1335</v>
      </c>
      <c r="B1094" s="12" t="n">
        <v>57</v>
      </c>
      <c r="C1094" s="12" t="s">
        <v>43</v>
      </c>
      <c r="D1094" s="12" t="s">
        <v>120</v>
      </c>
      <c r="E1094" s="12" t="s">
        <v>383</v>
      </c>
      <c r="F1094" s="12" t="s">
        <v>235</v>
      </c>
      <c r="G1094" s="12" t="s">
        <v>53</v>
      </c>
      <c r="H1094" s="12" t="s">
        <v>39</v>
      </c>
      <c r="I1094" s="12" t="n">
        <v>17</v>
      </c>
      <c r="J1094" s="12" t="s">
        <v>40</v>
      </c>
      <c r="K1094" s="12" t="s">
        <v>48</v>
      </c>
      <c r="L1094" s="12" t="str">
        <f aca="false">IF(OR(H1094="Severe",H1094="Life-Threatening"),"Yes","No")</f>
        <v>No</v>
      </c>
      <c r="M1094" s="12" t="str">
        <f aca="false">IF(B1094&lt;18,"0-17",IF(B1094&lt;40,"18-39",IF(B1094&lt;60,"40-59","60+")))</f>
        <v>40-59</v>
      </c>
      <c r="N1094" s="12" t="str">
        <f aca="false">IF(I1094&lt;=1,"0-1 days",IF(I1094&lt;=7,"2-7 days",IF(I1094&lt;=30,"8-30 days","&gt;30 days")))</f>
        <v>8-30 days</v>
      </c>
    </row>
    <row r="1095" customFormat="false" ht="15" hidden="false" customHeight="false" outlineLevel="0" collapsed="false">
      <c r="A1095" s="12" t="s">
        <v>1336</v>
      </c>
      <c r="B1095" s="12" t="n">
        <v>44</v>
      </c>
      <c r="C1095" s="12" t="s">
        <v>43</v>
      </c>
      <c r="D1095" s="12" t="s">
        <v>117</v>
      </c>
      <c r="E1095" s="12" t="s">
        <v>307</v>
      </c>
      <c r="F1095" s="12" t="s">
        <v>62</v>
      </c>
      <c r="G1095" s="12" t="s">
        <v>53</v>
      </c>
      <c r="H1095" s="12" t="s">
        <v>46</v>
      </c>
      <c r="I1095" s="12" t="n">
        <v>13</v>
      </c>
      <c r="J1095" s="12" t="s">
        <v>40</v>
      </c>
      <c r="K1095" s="12" t="s">
        <v>48</v>
      </c>
      <c r="L1095" s="12" t="str">
        <f aca="false">IF(OR(H1095="Severe",H1095="Life-Threatening"),"Yes","No")</f>
        <v>No</v>
      </c>
      <c r="M1095" s="12" t="str">
        <f aca="false">IF(B1095&lt;18,"0-17",IF(B1095&lt;40,"18-39",IF(B1095&lt;60,"40-59","60+")))</f>
        <v>40-59</v>
      </c>
      <c r="N1095" s="12" t="str">
        <f aca="false">IF(I1095&lt;=1,"0-1 days",IF(I1095&lt;=7,"2-7 days",IF(I1095&lt;=30,"8-30 days","&gt;30 days")))</f>
        <v>8-30 days</v>
      </c>
    </row>
    <row r="1096" customFormat="false" ht="15" hidden="false" customHeight="false" outlineLevel="0" collapsed="false">
      <c r="A1096" s="12" t="s">
        <v>1337</v>
      </c>
      <c r="B1096" s="12" t="n">
        <v>2</v>
      </c>
      <c r="C1096" s="12" t="s">
        <v>34</v>
      </c>
      <c r="D1096" s="12" t="s">
        <v>163</v>
      </c>
      <c r="E1096" s="12" t="s">
        <v>266</v>
      </c>
      <c r="F1096" s="12" t="s">
        <v>214</v>
      </c>
      <c r="G1096" s="12" t="s">
        <v>115</v>
      </c>
      <c r="H1096" s="12" t="s">
        <v>76</v>
      </c>
      <c r="I1096" s="12" t="n">
        <v>4</v>
      </c>
      <c r="J1096" s="12" t="s">
        <v>169</v>
      </c>
      <c r="K1096" s="12" t="s">
        <v>63</v>
      </c>
      <c r="L1096" s="12" t="str">
        <f aca="false">IF(OR(H1096="Severe",H1096="Life-Threatening"),"Yes","No")</f>
        <v>Yes</v>
      </c>
      <c r="M1096" s="12" t="str">
        <f aca="false">IF(B1096&lt;18,"0-17",IF(B1096&lt;40,"18-39",IF(B1096&lt;60,"40-59","60+")))</f>
        <v>0-17</v>
      </c>
      <c r="N1096" s="12" t="str">
        <f aca="false">IF(I1096&lt;=1,"0-1 days",IF(I1096&lt;=7,"2-7 days",IF(I1096&lt;=30,"8-30 days","&gt;30 days")))</f>
        <v>2-7 days</v>
      </c>
    </row>
    <row r="1097" customFormat="false" ht="15" hidden="false" customHeight="false" outlineLevel="0" collapsed="false">
      <c r="A1097" s="12" t="s">
        <v>1338</v>
      </c>
      <c r="B1097" s="12" t="n">
        <v>50</v>
      </c>
      <c r="C1097" s="12" t="s">
        <v>43</v>
      </c>
      <c r="D1097" s="12" t="s">
        <v>196</v>
      </c>
      <c r="E1097" s="12" t="s">
        <v>253</v>
      </c>
      <c r="F1097" s="12" t="s">
        <v>135</v>
      </c>
      <c r="G1097" s="12" t="s">
        <v>136</v>
      </c>
      <c r="H1097" s="12" t="s">
        <v>39</v>
      </c>
      <c r="I1097" s="12" t="n">
        <v>14</v>
      </c>
      <c r="J1097" s="12" t="s">
        <v>47</v>
      </c>
      <c r="K1097" s="12" t="s">
        <v>48</v>
      </c>
      <c r="L1097" s="12" t="str">
        <f aca="false">IF(OR(H1097="Severe",H1097="Life-Threatening"),"Yes","No")</f>
        <v>No</v>
      </c>
      <c r="M1097" s="12" t="str">
        <f aca="false">IF(B1097&lt;18,"0-17",IF(B1097&lt;40,"18-39",IF(B1097&lt;60,"40-59","60+")))</f>
        <v>40-59</v>
      </c>
      <c r="N1097" s="12" t="str">
        <f aca="false">IF(I1097&lt;=1,"0-1 days",IF(I1097&lt;=7,"2-7 days",IF(I1097&lt;=30,"8-30 days","&gt;30 days")))</f>
        <v>8-30 days</v>
      </c>
    </row>
    <row r="1098" customFormat="false" ht="15" hidden="false" customHeight="false" outlineLevel="0" collapsed="false">
      <c r="A1098" s="12" t="s">
        <v>1339</v>
      </c>
      <c r="B1098" s="12" t="n">
        <v>68</v>
      </c>
      <c r="C1098" s="12" t="s">
        <v>43</v>
      </c>
      <c r="D1098" s="12" t="s">
        <v>211</v>
      </c>
      <c r="E1098" s="12" t="s">
        <v>89</v>
      </c>
      <c r="F1098" s="12" t="s">
        <v>37</v>
      </c>
      <c r="G1098" s="12" t="s">
        <v>38</v>
      </c>
      <c r="H1098" s="12" t="s">
        <v>39</v>
      </c>
      <c r="I1098" s="12" t="n">
        <v>8</v>
      </c>
      <c r="J1098" s="12" t="s">
        <v>40</v>
      </c>
      <c r="K1098" s="12" t="s">
        <v>41</v>
      </c>
      <c r="L1098" s="12" t="str">
        <f aca="false">IF(OR(H1098="Severe",H1098="Life-Threatening"),"Yes","No")</f>
        <v>No</v>
      </c>
      <c r="M1098" s="12" t="str">
        <f aca="false">IF(B1098&lt;18,"0-17",IF(B1098&lt;40,"18-39",IF(B1098&lt;60,"40-59","60+")))</f>
        <v>60+</v>
      </c>
      <c r="N1098" s="12" t="str">
        <f aca="false">IF(I1098&lt;=1,"0-1 days",IF(I1098&lt;=7,"2-7 days",IF(I1098&lt;=30,"8-30 days","&gt;30 days")))</f>
        <v>8-30 days</v>
      </c>
    </row>
    <row r="1099" customFormat="false" ht="15" hidden="false" customHeight="false" outlineLevel="0" collapsed="false">
      <c r="A1099" s="12" t="s">
        <v>1340</v>
      </c>
      <c r="B1099" s="12" t="n">
        <v>28</v>
      </c>
      <c r="C1099" s="12" t="s">
        <v>34</v>
      </c>
      <c r="D1099" s="12" t="s">
        <v>85</v>
      </c>
      <c r="E1099" s="12" t="s">
        <v>113</v>
      </c>
      <c r="F1099" s="12" t="s">
        <v>219</v>
      </c>
      <c r="G1099" s="12" t="s">
        <v>53</v>
      </c>
      <c r="H1099" s="12" t="s">
        <v>39</v>
      </c>
      <c r="I1099" s="12" t="n">
        <v>25</v>
      </c>
      <c r="J1099" s="12" t="s">
        <v>47</v>
      </c>
      <c r="K1099" s="12" t="s">
        <v>48</v>
      </c>
      <c r="L1099" s="12" t="str">
        <f aca="false">IF(OR(H1099="Severe",H1099="Life-Threatening"),"Yes","No")</f>
        <v>No</v>
      </c>
      <c r="M1099" s="12" t="str">
        <f aca="false">IF(B1099&lt;18,"0-17",IF(B1099&lt;40,"18-39",IF(B1099&lt;60,"40-59","60+")))</f>
        <v>18-39</v>
      </c>
      <c r="N1099" s="12" t="str">
        <f aca="false">IF(I1099&lt;=1,"0-1 days",IF(I1099&lt;=7,"2-7 days",IF(I1099&lt;=30,"8-30 days","&gt;30 days")))</f>
        <v>8-30 days</v>
      </c>
    </row>
    <row r="1100" customFormat="false" ht="15" hidden="false" customHeight="false" outlineLevel="0" collapsed="false">
      <c r="A1100" s="12" t="s">
        <v>1341</v>
      </c>
      <c r="B1100" s="12" t="n">
        <v>54</v>
      </c>
      <c r="C1100" s="12" t="s">
        <v>43</v>
      </c>
      <c r="D1100" s="12" t="s">
        <v>155</v>
      </c>
      <c r="E1100" s="12" t="s">
        <v>243</v>
      </c>
      <c r="F1100" s="12" t="s">
        <v>348</v>
      </c>
      <c r="G1100" s="12" t="s">
        <v>94</v>
      </c>
      <c r="H1100" s="12" t="s">
        <v>76</v>
      </c>
      <c r="I1100" s="12" t="n">
        <v>18</v>
      </c>
      <c r="J1100" s="12" t="s">
        <v>67</v>
      </c>
      <c r="K1100" s="12" t="s">
        <v>48</v>
      </c>
      <c r="L1100" s="12" t="str">
        <f aca="false">IF(OR(H1100="Severe",H1100="Life-Threatening"),"Yes","No")</f>
        <v>Yes</v>
      </c>
      <c r="M1100" s="12" t="str">
        <f aca="false">IF(B1100&lt;18,"0-17",IF(B1100&lt;40,"18-39",IF(B1100&lt;60,"40-59","60+")))</f>
        <v>40-59</v>
      </c>
      <c r="N1100" s="12" t="str">
        <f aca="false">IF(I1100&lt;=1,"0-1 days",IF(I1100&lt;=7,"2-7 days",IF(I1100&lt;=30,"8-30 days","&gt;30 days")))</f>
        <v>8-30 days</v>
      </c>
    </row>
    <row r="1101" customFormat="false" ht="15" hidden="false" customHeight="false" outlineLevel="0" collapsed="false">
      <c r="A1101" s="12" t="s">
        <v>1342</v>
      </c>
      <c r="B1101" s="12" t="n">
        <v>52</v>
      </c>
      <c r="C1101" s="12" t="s">
        <v>43</v>
      </c>
      <c r="D1101" s="12" t="s">
        <v>196</v>
      </c>
      <c r="E1101" s="12" t="s">
        <v>36</v>
      </c>
      <c r="F1101" s="12" t="s">
        <v>37</v>
      </c>
      <c r="G1101" s="12" t="s">
        <v>38</v>
      </c>
      <c r="H1101" s="12" t="s">
        <v>39</v>
      </c>
      <c r="I1101" s="12" t="n">
        <v>23</v>
      </c>
      <c r="J1101" s="12" t="s">
        <v>40</v>
      </c>
      <c r="K1101" s="12" t="s">
        <v>63</v>
      </c>
      <c r="L1101" s="12" t="str">
        <f aca="false">IF(OR(H1101="Severe",H1101="Life-Threatening"),"Yes","No")</f>
        <v>No</v>
      </c>
      <c r="M1101" s="12" t="str">
        <f aca="false">IF(B1101&lt;18,"0-17",IF(B1101&lt;40,"18-39",IF(B1101&lt;60,"40-59","60+")))</f>
        <v>40-59</v>
      </c>
      <c r="N1101" s="12" t="str">
        <f aca="false">IF(I1101&lt;=1,"0-1 days",IF(I1101&lt;=7,"2-7 days",IF(I1101&lt;=30,"8-30 days","&gt;30 days")))</f>
        <v>8-30 days</v>
      </c>
    </row>
    <row r="1102" customFormat="false" ht="15" hidden="false" customHeight="false" outlineLevel="0" collapsed="false">
      <c r="A1102" s="12" t="s">
        <v>1343</v>
      </c>
      <c r="B1102" s="12" t="n">
        <v>63</v>
      </c>
      <c r="C1102" s="12" t="s">
        <v>43</v>
      </c>
      <c r="D1102" s="12" t="s">
        <v>35</v>
      </c>
      <c r="E1102" s="12" t="s">
        <v>204</v>
      </c>
      <c r="F1102" s="12" t="s">
        <v>371</v>
      </c>
      <c r="G1102" s="12" t="s">
        <v>72</v>
      </c>
      <c r="H1102" s="12" t="s">
        <v>59</v>
      </c>
      <c r="I1102" s="12" t="n">
        <v>14</v>
      </c>
      <c r="J1102" s="12" t="s">
        <v>40</v>
      </c>
      <c r="K1102" s="12" t="s">
        <v>63</v>
      </c>
      <c r="L1102" s="12" t="str">
        <f aca="false">IF(OR(H1102="Severe",H1102="Life-Threatening"),"Yes","No")</f>
        <v>Yes</v>
      </c>
      <c r="M1102" s="12" t="str">
        <f aca="false">IF(B1102&lt;18,"0-17",IF(B1102&lt;40,"18-39",IF(B1102&lt;60,"40-59","60+")))</f>
        <v>60+</v>
      </c>
      <c r="N1102" s="12" t="str">
        <f aca="false">IF(I1102&lt;=1,"0-1 days",IF(I1102&lt;=7,"2-7 days",IF(I1102&lt;=30,"8-30 days","&gt;30 days")))</f>
        <v>8-30 days</v>
      </c>
    </row>
    <row r="1103" customFormat="false" ht="15" hidden="false" customHeight="false" outlineLevel="0" collapsed="false">
      <c r="A1103" s="12" t="s">
        <v>1344</v>
      </c>
      <c r="B1103" s="12" t="n">
        <v>77</v>
      </c>
      <c r="C1103" s="12" t="s">
        <v>43</v>
      </c>
      <c r="D1103" s="12" t="s">
        <v>35</v>
      </c>
      <c r="E1103" s="12" t="s">
        <v>51</v>
      </c>
      <c r="F1103" s="12" t="s">
        <v>52</v>
      </c>
      <c r="G1103" s="12" t="s">
        <v>53</v>
      </c>
      <c r="H1103" s="12" t="s">
        <v>39</v>
      </c>
      <c r="I1103" s="12" t="n">
        <v>16</v>
      </c>
      <c r="J1103" s="12" t="s">
        <v>40</v>
      </c>
      <c r="K1103" s="12" t="s">
        <v>63</v>
      </c>
      <c r="L1103" s="12" t="str">
        <f aca="false">IF(OR(H1103="Severe",H1103="Life-Threatening"),"Yes","No")</f>
        <v>No</v>
      </c>
      <c r="M1103" s="12" t="str">
        <f aca="false">IF(B1103&lt;18,"0-17",IF(B1103&lt;40,"18-39",IF(B1103&lt;60,"40-59","60+")))</f>
        <v>60+</v>
      </c>
      <c r="N1103" s="12" t="str">
        <f aca="false">IF(I1103&lt;=1,"0-1 days",IF(I1103&lt;=7,"2-7 days",IF(I1103&lt;=30,"8-30 days","&gt;30 days")))</f>
        <v>8-30 days</v>
      </c>
    </row>
    <row r="1104" customFormat="false" ht="15" hidden="false" customHeight="false" outlineLevel="0" collapsed="false">
      <c r="A1104" s="12" t="s">
        <v>1345</v>
      </c>
      <c r="B1104" s="12" t="n">
        <v>48</v>
      </c>
      <c r="C1104" s="12" t="s">
        <v>34</v>
      </c>
      <c r="D1104" s="12" t="s">
        <v>211</v>
      </c>
      <c r="E1104" s="12" t="s">
        <v>179</v>
      </c>
      <c r="F1104" s="12" t="s">
        <v>325</v>
      </c>
      <c r="G1104" s="12" t="s">
        <v>177</v>
      </c>
      <c r="H1104" s="12" t="s">
        <v>39</v>
      </c>
      <c r="I1104" s="12" t="n">
        <v>2</v>
      </c>
      <c r="J1104" s="12" t="s">
        <v>67</v>
      </c>
      <c r="K1104" s="12" t="s">
        <v>48</v>
      </c>
      <c r="L1104" s="12" t="str">
        <f aca="false">IF(OR(H1104="Severe",H1104="Life-Threatening"),"Yes","No")</f>
        <v>No</v>
      </c>
      <c r="M1104" s="12" t="str">
        <f aca="false">IF(B1104&lt;18,"0-17",IF(B1104&lt;40,"18-39",IF(B1104&lt;60,"40-59","60+")))</f>
        <v>40-59</v>
      </c>
      <c r="N1104" s="12" t="str">
        <f aca="false">IF(I1104&lt;=1,"0-1 days",IF(I1104&lt;=7,"2-7 days",IF(I1104&lt;=30,"8-30 days","&gt;30 days")))</f>
        <v>2-7 days</v>
      </c>
    </row>
    <row r="1105" customFormat="false" ht="15" hidden="false" customHeight="false" outlineLevel="0" collapsed="false">
      <c r="A1105" s="12" t="s">
        <v>1346</v>
      </c>
      <c r="B1105" s="12" t="n">
        <v>20</v>
      </c>
      <c r="C1105" s="12" t="s">
        <v>34</v>
      </c>
      <c r="D1105" s="12" t="s">
        <v>196</v>
      </c>
      <c r="E1105" s="12" t="s">
        <v>315</v>
      </c>
      <c r="F1105" s="12" t="s">
        <v>176</v>
      </c>
      <c r="G1105" s="12" t="s">
        <v>177</v>
      </c>
      <c r="H1105" s="12" t="s">
        <v>76</v>
      </c>
      <c r="I1105" s="12" t="n">
        <v>7</v>
      </c>
      <c r="J1105" s="12" t="s">
        <v>47</v>
      </c>
      <c r="K1105" s="12" t="s">
        <v>48</v>
      </c>
      <c r="L1105" s="12" t="str">
        <f aca="false">IF(OR(H1105="Severe",H1105="Life-Threatening"),"Yes","No")</f>
        <v>Yes</v>
      </c>
      <c r="M1105" s="12" t="str">
        <f aca="false">IF(B1105&lt;18,"0-17",IF(B1105&lt;40,"18-39",IF(B1105&lt;60,"40-59","60+")))</f>
        <v>18-39</v>
      </c>
      <c r="N1105" s="12" t="str">
        <f aca="false">IF(I1105&lt;=1,"0-1 days",IF(I1105&lt;=7,"2-7 days",IF(I1105&lt;=30,"8-30 days","&gt;30 days")))</f>
        <v>2-7 days</v>
      </c>
    </row>
    <row r="1106" customFormat="false" ht="15" hidden="false" customHeight="false" outlineLevel="0" collapsed="false">
      <c r="A1106" s="12" t="s">
        <v>1347</v>
      </c>
      <c r="B1106" s="12" t="n">
        <v>8</v>
      </c>
      <c r="C1106" s="12" t="s">
        <v>34</v>
      </c>
      <c r="D1106" s="12" t="s">
        <v>35</v>
      </c>
      <c r="E1106" s="12" t="s">
        <v>241</v>
      </c>
      <c r="F1106" s="12" t="s">
        <v>333</v>
      </c>
      <c r="G1106" s="12" t="s">
        <v>104</v>
      </c>
      <c r="H1106" s="12" t="s">
        <v>39</v>
      </c>
      <c r="I1106" s="12" t="n">
        <v>27</v>
      </c>
      <c r="J1106" s="12" t="s">
        <v>40</v>
      </c>
      <c r="K1106" s="12" t="s">
        <v>147</v>
      </c>
      <c r="L1106" s="12" t="str">
        <f aca="false">IF(OR(H1106="Severe",H1106="Life-Threatening"),"Yes","No")</f>
        <v>No</v>
      </c>
      <c r="M1106" s="12" t="str">
        <f aca="false">IF(B1106&lt;18,"0-17",IF(B1106&lt;40,"18-39",IF(B1106&lt;60,"40-59","60+")))</f>
        <v>0-17</v>
      </c>
      <c r="N1106" s="12" t="str">
        <f aca="false">IF(I1106&lt;=1,"0-1 days",IF(I1106&lt;=7,"2-7 days",IF(I1106&lt;=30,"8-30 days","&gt;30 days")))</f>
        <v>8-30 days</v>
      </c>
    </row>
    <row r="1107" customFormat="false" ht="15" hidden="false" customHeight="false" outlineLevel="0" collapsed="false">
      <c r="A1107" s="12" t="s">
        <v>1348</v>
      </c>
      <c r="B1107" s="12" t="n">
        <v>51</v>
      </c>
      <c r="C1107" s="12" t="s">
        <v>43</v>
      </c>
      <c r="D1107" s="12" t="s">
        <v>55</v>
      </c>
      <c r="E1107" s="12" t="s">
        <v>92</v>
      </c>
      <c r="F1107" s="12" t="s">
        <v>171</v>
      </c>
      <c r="G1107" s="12" t="s">
        <v>53</v>
      </c>
      <c r="H1107" s="12" t="s">
        <v>39</v>
      </c>
      <c r="I1107" s="12" t="n">
        <v>4</v>
      </c>
      <c r="J1107" s="12" t="s">
        <v>40</v>
      </c>
      <c r="K1107" s="12" t="s">
        <v>48</v>
      </c>
      <c r="L1107" s="12" t="str">
        <f aca="false">IF(OR(H1107="Severe",H1107="Life-Threatening"),"Yes","No")</f>
        <v>No</v>
      </c>
      <c r="M1107" s="12" t="str">
        <f aca="false">IF(B1107&lt;18,"0-17",IF(B1107&lt;40,"18-39",IF(B1107&lt;60,"40-59","60+")))</f>
        <v>40-59</v>
      </c>
      <c r="N1107" s="12" t="str">
        <f aca="false">IF(I1107&lt;=1,"0-1 days",IF(I1107&lt;=7,"2-7 days",IF(I1107&lt;=30,"8-30 days","&gt;30 days")))</f>
        <v>2-7 days</v>
      </c>
    </row>
    <row r="1108" customFormat="false" ht="15" hidden="false" customHeight="false" outlineLevel="0" collapsed="false">
      <c r="A1108" s="12" t="s">
        <v>1349</v>
      </c>
      <c r="B1108" s="12" t="n">
        <v>56</v>
      </c>
      <c r="C1108" s="12" t="s">
        <v>43</v>
      </c>
      <c r="D1108" s="12" t="s">
        <v>88</v>
      </c>
      <c r="E1108" s="12" t="s">
        <v>227</v>
      </c>
      <c r="F1108" s="12" t="s">
        <v>214</v>
      </c>
      <c r="G1108" s="12" t="s">
        <v>115</v>
      </c>
      <c r="H1108" s="12" t="s">
        <v>46</v>
      </c>
      <c r="I1108" s="12" t="n">
        <v>18</v>
      </c>
      <c r="J1108" s="12" t="s">
        <v>47</v>
      </c>
      <c r="K1108" s="12" t="s">
        <v>147</v>
      </c>
      <c r="L1108" s="12" t="str">
        <f aca="false">IF(OR(H1108="Severe",H1108="Life-Threatening"),"Yes","No")</f>
        <v>No</v>
      </c>
      <c r="M1108" s="12" t="str">
        <f aca="false">IF(B1108&lt;18,"0-17",IF(B1108&lt;40,"18-39",IF(B1108&lt;60,"40-59","60+")))</f>
        <v>40-59</v>
      </c>
      <c r="N1108" s="12" t="str">
        <f aca="false">IF(I1108&lt;=1,"0-1 days",IF(I1108&lt;=7,"2-7 days",IF(I1108&lt;=30,"8-30 days","&gt;30 days")))</f>
        <v>8-30 days</v>
      </c>
    </row>
    <row r="1109" customFormat="false" ht="15" hidden="false" customHeight="false" outlineLevel="0" collapsed="false">
      <c r="A1109" s="12" t="s">
        <v>1350</v>
      </c>
      <c r="B1109" s="12" t="n">
        <v>12</v>
      </c>
      <c r="C1109" s="12" t="s">
        <v>43</v>
      </c>
      <c r="D1109" s="12" t="s">
        <v>35</v>
      </c>
      <c r="E1109" s="12" t="s">
        <v>118</v>
      </c>
      <c r="F1109" s="12" t="s">
        <v>45</v>
      </c>
      <c r="G1109" s="12" t="s">
        <v>38</v>
      </c>
      <c r="H1109" s="12" t="s">
        <v>46</v>
      </c>
      <c r="I1109" s="12" t="n">
        <v>4</v>
      </c>
      <c r="J1109" s="12" t="s">
        <v>40</v>
      </c>
      <c r="K1109" s="12" t="s">
        <v>63</v>
      </c>
      <c r="L1109" s="12" t="str">
        <f aca="false">IF(OR(H1109="Severe",H1109="Life-Threatening"),"Yes","No")</f>
        <v>No</v>
      </c>
      <c r="M1109" s="12" t="str">
        <f aca="false">IF(B1109&lt;18,"0-17",IF(B1109&lt;40,"18-39",IF(B1109&lt;60,"40-59","60+")))</f>
        <v>0-17</v>
      </c>
      <c r="N1109" s="12" t="str">
        <f aca="false">IF(I1109&lt;=1,"0-1 days",IF(I1109&lt;=7,"2-7 days",IF(I1109&lt;=30,"8-30 days","&gt;30 days")))</f>
        <v>2-7 days</v>
      </c>
    </row>
    <row r="1110" customFormat="false" ht="15" hidden="false" customHeight="false" outlineLevel="0" collapsed="false">
      <c r="A1110" s="12" t="s">
        <v>1351</v>
      </c>
      <c r="B1110" s="12" t="n">
        <v>48</v>
      </c>
      <c r="C1110" s="12" t="s">
        <v>43</v>
      </c>
      <c r="D1110" s="12" t="s">
        <v>196</v>
      </c>
      <c r="E1110" s="12" t="s">
        <v>113</v>
      </c>
      <c r="F1110" s="12" t="s">
        <v>219</v>
      </c>
      <c r="G1110" s="12" t="s">
        <v>53</v>
      </c>
      <c r="H1110" s="12" t="s">
        <v>39</v>
      </c>
      <c r="I1110" s="12" t="n">
        <v>10</v>
      </c>
      <c r="J1110" s="12" t="s">
        <v>40</v>
      </c>
      <c r="K1110" s="12" t="s">
        <v>147</v>
      </c>
      <c r="L1110" s="12" t="str">
        <f aca="false">IF(OR(H1110="Severe",H1110="Life-Threatening"),"Yes","No")</f>
        <v>No</v>
      </c>
      <c r="M1110" s="12" t="str">
        <f aca="false">IF(B1110&lt;18,"0-17",IF(B1110&lt;40,"18-39",IF(B1110&lt;60,"40-59","60+")))</f>
        <v>40-59</v>
      </c>
      <c r="N1110" s="12" t="str">
        <f aca="false">IF(I1110&lt;=1,"0-1 days",IF(I1110&lt;=7,"2-7 days",IF(I1110&lt;=30,"8-30 days","&gt;30 days")))</f>
        <v>8-30 days</v>
      </c>
    </row>
    <row r="1111" customFormat="false" ht="15" hidden="false" customHeight="false" outlineLevel="0" collapsed="false">
      <c r="A1111" s="12" t="s">
        <v>1352</v>
      </c>
      <c r="B1111" s="12" t="n">
        <v>63</v>
      </c>
      <c r="C1111" s="12" t="s">
        <v>34</v>
      </c>
      <c r="D1111" s="12" t="s">
        <v>194</v>
      </c>
      <c r="E1111" s="12" t="s">
        <v>229</v>
      </c>
      <c r="F1111" s="12" t="s">
        <v>139</v>
      </c>
      <c r="G1111" s="12" t="s">
        <v>38</v>
      </c>
      <c r="H1111" s="12" t="s">
        <v>39</v>
      </c>
      <c r="I1111" s="12" t="n">
        <v>12</v>
      </c>
      <c r="J1111" s="12" t="s">
        <v>67</v>
      </c>
      <c r="K1111" s="12" t="s">
        <v>63</v>
      </c>
      <c r="L1111" s="12" t="str">
        <f aca="false">IF(OR(H1111="Severe",H1111="Life-Threatening"),"Yes","No")</f>
        <v>No</v>
      </c>
      <c r="M1111" s="12" t="str">
        <f aca="false">IF(B1111&lt;18,"0-17",IF(B1111&lt;40,"18-39",IF(B1111&lt;60,"40-59","60+")))</f>
        <v>60+</v>
      </c>
      <c r="N1111" s="12" t="str">
        <f aca="false">IF(I1111&lt;=1,"0-1 days",IF(I1111&lt;=7,"2-7 days",IF(I1111&lt;=30,"8-30 days","&gt;30 days")))</f>
        <v>8-30 days</v>
      </c>
    </row>
    <row r="1112" customFormat="false" ht="15" hidden="false" customHeight="false" outlineLevel="0" collapsed="false">
      <c r="A1112" s="12" t="s">
        <v>1353</v>
      </c>
      <c r="B1112" s="12" t="n">
        <v>53</v>
      </c>
      <c r="C1112" s="12" t="s">
        <v>34</v>
      </c>
      <c r="D1112" s="12" t="s">
        <v>35</v>
      </c>
      <c r="E1112" s="12" t="s">
        <v>324</v>
      </c>
      <c r="F1112" s="12" t="s">
        <v>45</v>
      </c>
      <c r="G1112" s="12" t="s">
        <v>38</v>
      </c>
      <c r="H1112" s="12" t="s">
        <v>46</v>
      </c>
      <c r="I1112" s="12" t="n">
        <v>27</v>
      </c>
      <c r="J1112" s="12" t="s">
        <v>40</v>
      </c>
      <c r="K1112" s="12" t="s">
        <v>63</v>
      </c>
      <c r="L1112" s="12" t="str">
        <f aca="false">IF(OR(H1112="Severe",H1112="Life-Threatening"),"Yes","No")</f>
        <v>No</v>
      </c>
      <c r="M1112" s="12" t="str">
        <f aca="false">IF(B1112&lt;18,"0-17",IF(B1112&lt;40,"18-39",IF(B1112&lt;60,"40-59","60+")))</f>
        <v>40-59</v>
      </c>
      <c r="N1112" s="12" t="str">
        <f aca="false">IF(I1112&lt;=1,"0-1 days",IF(I1112&lt;=7,"2-7 days",IF(I1112&lt;=30,"8-30 days","&gt;30 days")))</f>
        <v>8-30 days</v>
      </c>
    </row>
    <row r="1113" customFormat="false" ht="15" hidden="false" customHeight="false" outlineLevel="0" collapsed="false">
      <c r="A1113" s="12" t="s">
        <v>1354</v>
      </c>
      <c r="B1113" s="12" t="n">
        <v>46</v>
      </c>
      <c r="C1113" s="12" t="s">
        <v>43</v>
      </c>
      <c r="D1113" s="12" t="s">
        <v>234</v>
      </c>
      <c r="E1113" s="12" t="s">
        <v>280</v>
      </c>
      <c r="F1113" s="12" t="s">
        <v>45</v>
      </c>
      <c r="G1113" s="12" t="s">
        <v>38</v>
      </c>
      <c r="H1113" s="12" t="s">
        <v>39</v>
      </c>
      <c r="I1113" s="12" t="n">
        <v>13</v>
      </c>
      <c r="J1113" s="12" t="s">
        <v>40</v>
      </c>
      <c r="K1113" s="12" t="s">
        <v>48</v>
      </c>
      <c r="L1113" s="12" t="str">
        <f aca="false">IF(OR(H1113="Severe",H1113="Life-Threatening"),"Yes","No")</f>
        <v>No</v>
      </c>
      <c r="M1113" s="12" t="str">
        <f aca="false">IF(B1113&lt;18,"0-17",IF(B1113&lt;40,"18-39",IF(B1113&lt;60,"40-59","60+")))</f>
        <v>40-59</v>
      </c>
      <c r="N1113" s="12" t="str">
        <f aca="false">IF(I1113&lt;=1,"0-1 days",IF(I1113&lt;=7,"2-7 days",IF(I1113&lt;=30,"8-30 days","&gt;30 days")))</f>
        <v>8-30 days</v>
      </c>
    </row>
    <row r="1114" customFormat="false" ht="15" hidden="false" customHeight="false" outlineLevel="0" collapsed="false">
      <c r="A1114" s="12" t="s">
        <v>1355</v>
      </c>
      <c r="B1114" s="12" t="n">
        <v>28</v>
      </c>
      <c r="C1114" s="12" t="s">
        <v>34</v>
      </c>
      <c r="D1114" s="12" t="s">
        <v>234</v>
      </c>
      <c r="E1114" s="12" t="s">
        <v>179</v>
      </c>
      <c r="F1114" s="12" t="s">
        <v>45</v>
      </c>
      <c r="G1114" s="12" t="s">
        <v>38</v>
      </c>
      <c r="H1114" s="12" t="s">
        <v>46</v>
      </c>
      <c r="I1114" s="12" t="n">
        <v>30</v>
      </c>
      <c r="J1114" s="12" t="s">
        <v>40</v>
      </c>
      <c r="K1114" s="12" t="s">
        <v>48</v>
      </c>
      <c r="L1114" s="12" t="str">
        <f aca="false">IF(OR(H1114="Severe",H1114="Life-Threatening"),"Yes","No")</f>
        <v>No</v>
      </c>
      <c r="M1114" s="12" t="str">
        <f aca="false">IF(B1114&lt;18,"0-17",IF(B1114&lt;40,"18-39",IF(B1114&lt;60,"40-59","60+")))</f>
        <v>18-39</v>
      </c>
      <c r="N1114" s="12" t="str">
        <f aca="false">IF(I1114&lt;=1,"0-1 days",IF(I1114&lt;=7,"2-7 days",IF(I1114&lt;=30,"8-30 days","&gt;30 days")))</f>
        <v>8-30 days</v>
      </c>
    </row>
    <row r="1115" customFormat="false" ht="15" hidden="false" customHeight="false" outlineLevel="0" collapsed="false">
      <c r="A1115" s="12" t="s">
        <v>1356</v>
      </c>
      <c r="B1115" s="12" t="n">
        <v>14</v>
      </c>
      <c r="C1115" s="12" t="s">
        <v>43</v>
      </c>
      <c r="D1115" s="12" t="s">
        <v>55</v>
      </c>
      <c r="E1115" s="12" t="s">
        <v>173</v>
      </c>
      <c r="F1115" s="12" t="s">
        <v>214</v>
      </c>
      <c r="G1115" s="12" t="s">
        <v>115</v>
      </c>
      <c r="H1115" s="12" t="s">
        <v>46</v>
      </c>
      <c r="I1115" s="12" t="n">
        <v>10</v>
      </c>
      <c r="J1115" s="12" t="s">
        <v>40</v>
      </c>
      <c r="K1115" s="12" t="s">
        <v>48</v>
      </c>
      <c r="L1115" s="12" t="str">
        <f aca="false">IF(OR(H1115="Severe",H1115="Life-Threatening"),"Yes","No")</f>
        <v>No</v>
      </c>
      <c r="M1115" s="12" t="str">
        <f aca="false">IF(B1115&lt;18,"0-17",IF(B1115&lt;40,"18-39",IF(B1115&lt;60,"40-59","60+")))</f>
        <v>0-17</v>
      </c>
      <c r="N1115" s="12" t="str">
        <f aca="false">IF(I1115&lt;=1,"0-1 days",IF(I1115&lt;=7,"2-7 days",IF(I1115&lt;=30,"8-30 days","&gt;30 days")))</f>
        <v>8-30 days</v>
      </c>
    </row>
    <row r="1116" customFormat="false" ht="15" hidden="false" customHeight="false" outlineLevel="0" collapsed="false">
      <c r="A1116" s="12" t="s">
        <v>1357</v>
      </c>
      <c r="B1116" s="12" t="n">
        <v>31</v>
      </c>
      <c r="C1116" s="12" t="s">
        <v>43</v>
      </c>
      <c r="D1116" s="12" t="s">
        <v>211</v>
      </c>
      <c r="E1116" s="12" t="s">
        <v>253</v>
      </c>
      <c r="F1116" s="12" t="s">
        <v>135</v>
      </c>
      <c r="G1116" s="12" t="s">
        <v>136</v>
      </c>
      <c r="H1116" s="12" t="s">
        <v>46</v>
      </c>
      <c r="I1116" s="12" t="n">
        <v>22</v>
      </c>
      <c r="J1116" s="12" t="s">
        <v>47</v>
      </c>
      <c r="K1116" s="12" t="s">
        <v>63</v>
      </c>
      <c r="L1116" s="12" t="str">
        <f aca="false">IF(OR(H1116="Severe",H1116="Life-Threatening"),"Yes","No")</f>
        <v>No</v>
      </c>
      <c r="M1116" s="12" t="str">
        <f aca="false">IF(B1116&lt;18,"0-17",IF(B1116&lt;40,"18-39",IF(B1116&lt;60,"40-59","60+")))</f>
        <v>18-39</v>
      </c>
      <c r="N1116" s="12" t="str">
        <f aca="false">IF(I1116&lt;=1,"0-1 days",IF(I1116&lt;=7,"2-7 days",IF(I1116&lt;=30,"8-30 days","&gt;30 days")))</f>
        <v>8-30 days</v>
      </c>
    </row>
    <row r="1117" customFormat="false" ht="15" hidden="false" customHeight="false" outlineLevel="0" collapsed="false">
      <c r="A1117" s="12" t="s">
        <v>1358</v>
      </c>
      <c r="B1117" s="12" t="n">
        <v>39</v>
      </c>
      <c r="C1117" s="12" t="s">
        <v>43</v>
      </c>
      <c r="D1117" s="12" t="s">
        <v>55</v>
      </c>
      <c r="E1117" s="12" t="s">
        <v>239</v>
      </c>
      <c r="F1117" s="12" t="s">
        <v>249</v>
      </c>
      <c r="G1117" s="12" t="s">
        <v>152</v>
      </c>
      <c r="H1117" s="12" t="s">
        <v>46</v>
      </c>
      <c r="I1117" s="12" t="n">
        <v>16</v>
      </c>
      <c r="J1117" s="12" t="s">
        <v>47</v>
      </c>
      <c r="K1117" s="12" t="s">
        <v>41</v>
      </c>
      <c r="L1117" s="12" t="str">
        <f aca="false">IF(OR(H1117="Severe",H1117="Life-Threatening"),"Yes","No")</f>
        <v>No</v>
      </c>
      <c r="M1117" s="12" t="str">
        <f aca="false">IF(B1117&lt;18,"0-17",IF(B1117&lt;40,"18-39",IF(B1117&lt;60,"40-59","60+")))</f>
        <v>18-39</v>
      </c>
      <c r="N1117" s="12" t="str">
        <f aca="false">IF(I1117&lt;=1,"0-1 days",IF(I1117&lt;=7,"2-7 days",IF(I1117&lt;=30,"8-30 days","&gt;30 days")))</f>
        <v>8-30 days</v>
      </c>
    </row>
    <row r="1118" customFormat="false" ht="15" hidden="false" customHeight="false" outlineLevel="0" collapsed="false">
      <c r="A1118" s="12" t="s">
        <v>1359</v>
      </c>
      <c r="B1118" s="12" t="n">
        <v>73</v>
      </c>
      <c r="C1118" s="12" t="s">
        <v>43</v>
      </c>
      <c r="D1118" s="12" t="s">
        <v>190</v>
      </c>
      <c r="E1118" s="12" t="s">
        <v>36</v>
      </c>
      <c r="F1118" s="12" t="s">
        <v>364</v>
      </c>
      <c r="G1118" s="12" t="s">
        <v>38</v>
      </c>
      <c r="H1118" s="12" t="s">
        <v>59</v>
      </c>
      <c r="I1118" s="12" t="n">
        <v>16</v>
      </c>
      <c r="J1118" s="12" t="s">
        <v>47</v>
      </c>
      <c r="K1118" s="12" t="s">
        <v>48</v>
      </c>
      <c r="L1118" s="12" t="str">
        <f aca="false">IF(OR(H1118="Severe",H1118="Life-Threatening"),"Yes","No")</f>
        <v>Yes</v>
      </c>
      <c r="M1118" s="12" t="str">
        <f aca="false">IF(B1118&lt;18,"0-17",IF(B1118&lt;40,"18-39",IF(B1118&lt;60,"40-59","60+")))</f>
        <v>60+</v>
      </c>
      <c r="N1118" s="12" t="str">
        <f aca="false">IF(I1118&lt;=1,"0-1 days",IF(I1118&lt;=7,"2-7 days",IF(I1118&lt;=30,"8-30 days","&gt;30 days")))</f>
        <v>8-30 days</v>
      </c>
    </row>
    <row r="1119" customFormat="false" ht="15" hidden="false" customHeight="false" outlineLevel="0" collapsed="false">
      <c r="A1119" s="12" t="s">
        <v>1360</v>
      </c>
      <c r="B1119" s="12" t="n">
        <v>95</v>
      </c>
      <c r="C1119" s="12" t="s">
        <v>43</v>
      </c>
      <c r="D1119" s="12" t="s">
        <v>163</v>
      </c>
      <c r="E1119" s="12" t="s">
        <v>287</v>
      </c>
      <c r="F1119" s="12" t="s">
        <v>345</v>
      </c>
      <c r="G1119" s="12" t="s">
        <v>53</v>
      </c>
      <c r="H1119" s="12" t="s">
        <v>46</v>
      </c>
      <c r="I1119" s="12" t="n">
        <v>21</v>
      </c>
      <c r="J1119" s="12" t="s">
        <v>47</v>
      </c>
      <c r="K1119" s="12" t="s">
        <v>63</v>
      </c>
      <c r="L1119" s="12" t="str">
        <f aca="false">IF(OR(H1119="Severe",H1119="Life-Threatening"),"Yes","No")</f>
        <v>No</v>
      </c>
      <c r="M1119" s="12" t="str">
        <f aca="false">IF(B1119&lt;18,"0-17",IF(B1119&lt;40,"18-39",IF(B1119&lt;60,"40-59","60+")))</f>
        <v>60+</v>
      </c>
      <c r="N1119" s="12" t="str">
        <f aca="false">IF(I1119&lt;=1,"0-1 days",IF(I1119&lt;=7,"2-7 days",IF(I1119&lt;=30,"8-30 days","&gt;30 days")))</f>
        <v>8-30 days</v>
      </c>
    </row>
    <row r="1120" customFormat="false" ht="15" hidden="false" customHeight="false" outlineLevel="0" collapsed="false">
      <c r="A1120" s="12" t="s">
        <v>1361</v>
      </c>
      <c r="B1120" s="12" t="n">
        <v>31</v>
      </c>
      <c r="C1120" s="12" t="s">
        <v>34</v>
      </c>
      <c r="D1120" s="12" t="s">
        <v>202</v>
      </c>
      <c r="E1120" s="12" t="s">
        <v>183</v>
      </c>
      <c r="F1120" s="12" t="s">
        <v>325</v>
      </c>
      <c r="G1120" s="12" t="s">
        <v>177</v>
      </c>
      <c r="H1120" s="12" t="s">
        <v>59</v>
      </c>
      <c r="I1120" s="12" t="n">
        <v>9</v>
      </c>
      <c r="J1120" s="12" t="s">
        <v>47</v>
      </c>
      <c r="K1120" s="12" t="s">
        <v>41</v>
      </c>
      <c r="L1120" s="12" t="str">
        <f aca="false">IF(OR(H1120="Severe",H1120="Life-Threatening"),"Yes","No")</f>
        <v>Yes</v>
      </c>
      <c r="M1120" s="12" t="str">
        <f aca="false">IF(B1120&lt;18,"0-17",IF(B1120&lt;40,"18-39",IF(B1120&lt;60,"40-59","60+")))</f>
        <v>18-39</v>
      </c>
      <c r="N1120" s="12" t="str">
        <f aca="false">IF(I1120&lt;=1,"0-1 days",IF(I1120&lt;=7,"2-7 days",IF(I1120&lt;=30,"8-30 days","&gt;30 days")))</f>
        <v>8-30 days</v>
      </c>
    </row>
    <row r="1121" customFormat="false" ht="15" hidden="false" customHeight="false" outlineLevel="0" collapsed="false">
      <c r="A1121" s="12" t="s">
        <v>1362</v>
      </c>
      <c r="B1121" s="12" t="n">
        <v>31</v>
      </c>
      <c r="C1121" s="12" t="s">
        <v>43</v>
      </c>
      <c r="D1121" s="12" t="s">
        <v>99</v>
      </c>
      <c r="E1121" s="12" t="s">
        <v>498</v>
      </c>
      <c r="F1121" s="12" t="s">
        <v>322</v>
      </c>
      <c r="G1121" s="12" t="s">
        <v>53</v>
      </c>
      <c r="H1121" s="12" t="s">
        <v>46</v>
      </c>
      <c r="I1121" s="12" t="n">
        <v>8</v>
      </c>
      <c r="J1121" s="12" t="s">
        <v>40</v>
      </c>
      <c r="K1121" s="12" t="s">
        <v>63</v>
      </c>
      <c r="L1121" s="12" t="str">
        <f aca="false">IF(OR(H1121="Severe",H1121="Life-Threatening"),"Yes","No")</f>
        <v>No</v>
      </c>
      <c r="M1121" s="12" t="str">
        <f aca="false">IF(B1121&lt;18,"0-17",IF(B1121&lt;40,"18-39",IF(B1121&lt;60,"40-59","60+")))</f>
        <v>18-39</v>
      </c>
      <c r="N1121" s="12" t="str">
        <f aca="false">IF(I1121&lt;=1,"0-1 days",IF(I1121&lt;=7,"2-7 days",IF(I1121&lt;=30,"8-30 days","&gt;30 days")))</f>
        <v>8-30 days</v>
      </c>
    </row>
    <row r="1122" customFormat="false" ht="15" hidden="false" customHeight="false" outlineLevel="0" collapsed="false">
      <c r="A1122" s="12" t="s">
        <v>1363</v>
      </c>
      <c r="B1122" s="12" t="n">
        <v>57</v>
      </c>
      <c r="C1122" s="12" t="s">
        <v>34</v>
      </c>
      <c r="D1122" s="12" t="s">
        <v>35</v>
      </c>
      <c r="E1122" s="12" t="s">
        <v>78</v>
      </c>
      <c r="F1122" s="12" t="s">
        <v>79</v>
      </c>
      <c r="G1122" s="12" t="s">
        <v>80</v>
      </c>
      <c r="H1122" s="12" t="s">
        <v>76</v>
      </c>
      <c r="I1122" s="12" t="n">
        <v>8</v>
      </c>
      <c r="J1122" s="12" t="s">
        <v>47</v>
      </c>
      <c r="K1122" s="12" t="s">
        <v>48</v>
      </c>
      <c r="L1122" s="12" t="str">
        <f aca="false">IF(OR(H1122="Severe",H1122="Life-Threatening"),"Yes","No")</f>
        <v>Yes</v>
      </c>
      <c r="M1122" s="12" t="str">
        <f aca="false">IF(B1122&lt;18,"0-17",IF(B1122&lt;40,"18-39",IF(B1122&lt;60,"40-59","60+")))</f>
        <v>40-59</v>
      </c>
      <c r="N1122" s="12" t="str">
        <f aca="false">IF(I1122&lt;=1,"0-1 days",IF(I1122&lt;=7,"2-7 days",IF(I1122&lt;=30,"8-30 days","&gt;30 days")))</f>
        <v>8-30 days</v>
      </c>
    </row>
    <row r="1123" customFormat="false" ht="15" hidden="false" customHeight="false" outlineLevel="0" collapsed="false">
      <c r="A1123" s="12" t="s">
        <v>1364</v>
      </c>
      <c r="B1123" s="12" t="n">
        <v>40</v>
      </c>
      <c r="C1123" s="12" t="s">
        <v>34</v>
      </c>
      <c r="D1123" s="12" t="s">
        <v>35</v>
      </c>
      <c r="E1123" s="12" t="s">
        <v>107</v>
      </c>
      <c r="F1123" s="12" t="s">
        <v>108</v>
      </c>
      <c r="G1123" s="12" t="s">
        <v>38</v>
      </c>
      <c r="H1123" s="12" t="s">
        <v>46</v>
      </c>
      <c r="I1123" s="12" t="n">
        <v>16</v>
      </c>
      <c r="J1123" s="12" t="s">
        <v>40</v>
      </c>
      <c r="K1123" s="12" t="s">
        <v>63</v>
      </c>
      <c r="L1123" s="12" t="str">
        <f aca="false">IF(OR(H1123="Severe",H1123="Life-Threatening"),"Yes","No")</f>
        <v>No</v>
      </c>
      <c r="M1123" s="12" t="str">
        <f aca="false">IF(B1123&lt;18,"0-17",IF(B1123&lt;40,"18-39",IF(B1123&lt;60,"40-59","60+")))</f>
        <v>40-59</v>
      </c>
      <c r="N1123" s="12" t="str">
        <f aca="false">IF(I1123&lt;=1,"0-1 days",IF(I1123&lt;=7,"2-7 days",IF(I1123&lt;=30,"8-30 days","&gt;30 days")))</f>
        <v>8-30 days</v>
      </c>
    </row>
    <row r="1124" customFormat="false" ht="15" hidden="false" customHeight="false" outlineLevel="0" collapsed="false">
      <c r="A1124" s="12" t="s">
        <v>1365</v>
      </c>
      <c r="B1124" s="12" t="n">
        <v>19</v>
      </c>
      <c r="C1124" s="12" t="s">
        <v>34</v>
      </c>
      <c r="D1124" s="12" t="s">
        <v>581</v>
      </c>
      <c r="E1124" s="12" t="s">
        <v>307</v>
      </c>
      <c r="F1124" s="12" t="s">
        <v>249</v>
      </c>
      <c r="G1124" s="12" t="s">
        <v>152</v>
      </c>
      <c r="H1124" s="12" t="s">
        <v>46</v>
      </c>
      <c r="I1124" s="12" t="n">
        <v>25</v>
      </c>
      <c r="J1124" s="12" t="s">
        <v>40</v>
      </c>
      <c r="K1124" s="12" t="s">
        <v>41</v>
      </c>
      <c r="L1124" s="12" t="str">
        <f aca="false">IF(OR(H1124="Severe",H1124="Life-Threatening"),"Yes","No")</f>
        <v>No</v>
      </c>
      <c r="M1124" s="12" t="str">
        <f aca="false">IF(B1124&lt;18,"0-17",IF(B1124&lt;40,"18-39",IF(B1124&lt;60,"40-59","60+")))</f>
        <v>18-39</v>
      </c>
      <c r="N1124" s="12" t="str">
        <f aca="false">IF(I1124&lt;=1,"0-1 days",IF(I1124&lt;=7,"2-7 days",IF(I1124&lt;=30,"8-30 days","&gt;30 days")))</f>
        <v>8-30 days</v>
      </c>
    </row>
    <row r="1125" customFormat="false" ht="15" hidden="false" customHeight="false" outlineLevel="0" collapsed="false">
      <c r="A1125" s="12" t="s">
        <v>1366</v>
      </c>
      <c r="B1125" s="12" t="n">
        <v>52</v>
      </c>
      <c r="C1125" s="12" t="s">
        <v>34</v>
      </c>
      <c r="D1125" s="12" t="s">
        <v>85</v>
      </c>
      <c r="E1125" s="12" t="s">
        <v>56</v>
      </c>
      <c r="F1125" s="12" t="s">
        <v>100</v>
      </c>
      <c r="G1125" s="12" t="s">
        <v>72</v>
      </c>
      <c r="H1125" s="12" t="s">
        <v>46</v>
      </c>
      <c r="I1125" s="12" t="n">
        <v>27</v>
      </c>
      <c r="J1125" s="12" t="s">
        <v>40</v>
      </c>
      <c r="K1125" s="12" t="s">
        <v>48</v>
      </c>
      <c r="L1125" s="12" t="str">
        <f aca="false">IF(OR(H1125="Severe",H1125="Life-Threatening"),"Yes","No")</f>
        <v>No</v>
      </c>
      <c r="M1125" s="12" t="str">
        <f aca="false">IF(B1125&lt;18,"0-17",IF(B1125&lt;40,"18-39",IF(B1125&lt;60,"40-59","60+")))</f>
        <v>40-59</v>
      </c>
      <c r="N1125" s="12" t="str">
        <f aca="false">IF(I1125&lt;=1,"0-1 days",IF(I1125&lt;=7,"2-7 days",IF(I1125&lt;=30,"8-30 days","&gt;30 days")))</f>
        <v>8-30 days</v>
      </c>
    </row>
    <row r="1126" customFormat="false" ht="15" hidden="false" customHeight="false" outlineLevel="0" collapsed="false">
      <c r="A1126" s="12" t="s">
        <v>1367</v>
      </c>
      <c r="B1126" s="12" t="n">
        <v>25</v>
      </c>
      <c r="C1126" s="12" t="s">
        <v>34</v>
      </c>
      <c r="D1126" s="12" t="s">
        <v>35</v>
      </c>
      <c r="E1126" s="12" t="s">
        <v>206</v>
      </c>
      <c r="F1126" s="12" t="s">
        <v>318</v>
      </c>
      <c r="G1126" s="12" t="s">
        <v>80</v>
      </c>
      <c r="H1126" s="12" t="s">
        <v>76</v>
      </c>
      <c r="I1126" s="12" t="n">
        <v>0</v>
      </c>
      <c r="J1126" s="12" t="s">
        <v>105</v>
      </c>
      <c r="K1126" s="12" t="s">
        <v>48</v>
      </c>
      <c r="L1126" s="12" t="str">
        <f aca="false">IF(OR(H1126="Severe",H1126="Life-Threatening"),"Yes","No")</f>
        <v>Yes</v>
      </c>
      <c r="M1126" s="12" t="str">
        <f aca="false">IF(B1126&lt;18,"0-17",IF(B1126&lt;40,"18-39",IF(B1126&lt;60,"40-59","60+")))</f>
        <v>18-39</v>
      </c>
      <c r="N1126" s="12" t="str">
        <f aca="false">IF(I1126&lt;=1,"0-1 days",IF(I1126&lt;=7,"2-7 days",IF(I1126&lt;=30,"8-30 days","&gt;30 days")))</f>
        <v>0-1 days</v>
      </c>
    </row>
    <row r="1127" customFormat="false" ht="15" hidden="false" customHeight="false" outlineLevel="0" collapsed="false">
      <c r="A1127" s="12" t="s">
        <v>1368</v>
      </c>
      <c r="B1127" s="12" t="n">
        <v>40</v>
      </c>
      <c r="C1127" s="12" t="s">
        <v>43</v>
      </c>
      <c r="D1127" s="12" t="s">
        <v>69</v>
      </c>
      <c r="E1127" s="12" t="s">
        <v>243</v>
      </c>
      <c r="F1127" s="12" t="s">
        <v>139</v>
      </c>
      <c r="G1127" s="12" t="s">
        <v>38</v>
      </c>
      <c r="H1127" s="12" t="s">
        <v>39</v>
      </c>
      <c r="I1127" s="12" t="n">
        <v>13</v>
      </c>
      <c r="J1127" s="12" t="s">
        <v>40</v>
      </c>
      <c r="K1127" s="12" t="s">
        <v>48</v>
      </c>
      <c r="L1127" s="12" t="str">
        <f aca="false">IF(OR(H1127="Severe",H1127="Life-Threatening"),"Yes","No")</f>
        <v>No</v>
      </c>
      <c r="M1127" s="12" t="str">
        <f aca="false">IF(B1127&lt;18,"0-17",IF(B1127&lt;40,"18-39",IF(B1127&lt;60,"40-59","60+")))</f>
        <v>40-59</v>
      </c>
      <c r="N1127" s="12" t="str">
        <f aca="false">IF(I1127&lt;=1,"0-1 days",IF(I1127&lt;=7,"2-7 days",IF(I1127&lt;=30,"8-30 days","&gt;30 days")))</f>
        <v>8-30 days</v>
      </c>
    </row>
    <row r="1128" customFormat="false" ht="15" hidden="false" customHeight="false" outlineLevel="0" collapsed="false">
      <c r="A1128" s="12" t="s">
        <v>1369</v>
      </c>
      <c r="B1128" s="12" t="n">
        <v>33</v>
      </c>
      <c r="C1128" s="12" t="s">
        <v>43</v>
      </c>
      <c r="D1128" s="12" t="s">
        <v>196</v>
      </c>
      <c r="E1128" s="12" t="s">
        <v>216</v>
      </c>
      <c r="F1128" s="12" t="s">
        <v>176</v>
      </c>
      <c r="G1128" s="12" t="s">
        <v>177</v>
      </c>
      <c r="H1128" s="12" t="s">
        <v>39</v>
      </c>
      <c r="I1128" s="12" t="n">
        <v>21</v>
      </c>
      <c r="J1128" s="12" t="s">
        <v>40</v>
      </c>
      <c r="K1128" s="12" t="s">
        <v>63</v>
      </c>
      <c r="L1128" s="12" t="str">
        <f aca="false">IF(OR(H1128="Severe",H1128="Life-Threatening"),"Yes","No")</f>
        <v>No</v>
      </c>
      <c r="M1128" s="12" t="str">
        <f aca="false">IF(B1128&lt;18,"0-17",IF(B1128&lt;40,"18-39",IF(B1128&lt;60,"40-59","60+")))</f>
        <v>18-39</v>
      </c>
      <c r="N1128" s="12" t="str">
        <f aca="false">IF(I1128&lt;=1,"0-1 days",IF(I1128&lt;=7,"2-7 days",IF(I1128&lt;=30,"8-30 days","&gt;30 days")))</f>
        <v>8-30 days</v>
      </c>
    </row>
    <row r="1129" customFormat="false" ht="15" hidden="false" customHeight="false" outlineLevel="0" collapsed="false">
      <c r="A1129" s="12" t="s">
        <v>1370</v>
      </c>
      <c r="B1129" s="12" t="n">
        <v>56</v>
      </c>
      <c r="C1129" s="12" t="s">
        <v>34</v>
      </c>
      <c r="D1129" s="12" t="s">
        <v>69</v>
      </c>
      <c r="E1129" s="12" t="s">
        <v>243</v>
      </c>
      <c r="F1129" s="12" t="s">
        <v>45</v>
      </c>
      <c r="G1129" s="12" t="s">
        <v>38</v>
      </c>
      <c r="H1129" s="12" t="s">
        <v>39</v>
      </c>
      <c r="I1129" s="12" t="n">
        <v>6</v>
      </c>
      <c r="J1129" s="12" t="s">
        <v>40</v>
      </c>
      <c r="K1129" s="12" t="s">
        <v>147</v>
      </c>
      <c r="L1129" s="12" t="str">
        <f aca="false">IF(OR(H1129="Severe",H1129="Life-Threatening"),"Yes","No")</f>
        <v>No</v>
      </c>
      <c r="M1129" s="12" t="str">
        <f aca="false">IF(B1129&lt;18,"0-17",IF(B1129&lt;40,"18-39",IF(B1129&lt;60,"40-59","60+")))</f>
        <v>40-59</v>
      </c>
      <c r="N1129" s="12" t="str">
        <f aca="false">IF(I1129&lt;=1,"0-1 days",IF(I1129&lt;=7,"2-7 days",IF(I1129&lt;=30,"8-30 days","&gt;30 days")))</f>
        <v>2-7 days</v>
      </c>
    </row>
    <row r="1130" customFormat="false" ht="15" hidden="false" customHeight="false" outlineLevel="0" collapsed="false">
      <c r="A1130" s="12" t="s">
        <v>1371</v>
      </c>
      <c r="B1130" s="12" t="n">
        <v>46</v>
      </c>
      <c r="C1130" s="12" t="s">
        <v>34</v>
      </c>
      <c r="D1130" s="12" t="s">
        <v>35</v>
      </c>
      <c r="E1130" s="12" t="s">
        <v>175</v>
      </c>
      <c r="F1130" s="12" t="s">
        <v>371</v>
      </c>
      <c r="G1130" s="12" t="s">
        <v>72</v>
      </c>
      <c r="H1130" s="12" t="s">
        <v>76</v>
      </c>
      <c r="I1130" s="12" t="n">
        <v>22</v>
      </c>
      <c r="J1130" s="12" t="s">
        <v>40</v>
      </c>
      <c r="K1130" s="12" t="s">
        <v>147</v>
      </c>
      <c r="L1130" s="12" t="str">
        <f aca="false">IF(OR(H1130="Severe",H1130="Life-Threatening"),"Yes","No")</f>
        <v>Yes</v>
      </c>
      <c r="M1130" s="12" t="str">
        <f aca="false">IF(B1130&lt;18,"0-17",IF(B1130&lt;40,"18-39",IF(B1130&lt;60,"40-59","60+")))</f>
        <v>40-59</v>
      </c>
      <c r="N1130" s="12" t="str">
        <f aca="false">IF(I1130&lt;=1,"0-1 days",IF(I1130&lt;=7,"2-7 days",IF(I1130&lt;=30,"8-30 days","&gt;30 days")))</f>
        <v>8-30 days</v>
      </c>
    </row>
    <row r="1131" customFormat="false" ht="15" hidden="false" customHeight="false" outlineLevel="0" collapsed="false">
      <c r="A1131" s="12" t="s">
        <v>1372</v>
      </c>
      <c r="B1131" s="12" t="n">
        <v>58</v>
      </c>
      <c r="C1131" s="12" t="s">
        <v>34</v>
      </c>
      <c r="D1131" s="12" t="s">
        <v>69</v>
      </c>
      <c r="E1131" s="12" t="s">
        <v>538</v>
      </c>
      <c r="F1131" s="12" t="s">
        <v>257</v>
      </c>
      <c r="G1131" s="12" t="s">
        <v>80</v>
      </c>
      <c r="H1131" s="12" t="s">
        <v>76</v>
      </c>
      <c r="I1131" s="12" t="n">
        <v>15</v>
      </c>
      <c r="J1131" s="12" t="s">
        <v>47</v>
      </c>
      <c r="K1131" s="12" t="s">
        <v>41</v>
      </c>
      <c r="L1131" s="12" t="str">
        <f aca="false">IF(OR(H1131="Severe",H1131="Life-Threatening"),"Yes","No")</f>
        <v>Yes</v>
      </c>
      <c r="M1131" s="12" t="str">
        <f aca="false">IF(B1131&lt;18,"0-17",IF(B1131&lt;40,"18-39",IF(B1131&lt;60,"40-59","60+")))</f>
        <v>40-59</v>
      </c>
      <c r="N1131" s="12" t="str">
        <f aca="false">IF(I1131&lt;=1,"0-1 days",IF(I1131&lt;=7,"2-7 days",IF(I1131&lt;=30,"8-30 days","&gt;30 days")))</f>
        <v>8-30 days</v>
      </c>
    </row>
    <row r="1132" customFormat="false" ht="15" hidden="false" customHeight="false" outlineLevel="0" collapsed="false">
      <c r="A1132" s="12" t="s">
        <v>1373</v>
      </c>
      <c r="B1132" s="12" t="n">
        <v>68</v>
      </c>
      <c r="C1132" s="12" t="s">
        <v>34</v>
      </c>
      <c r="D1132" s="12" t="s">
        <v>327</v>
      </c>
      <c r="E1132" s="12" t="s">
        <v>332</v>
      </c>
      <c r="F1132" s="12" t="s">
        <v>45</v>
      </c>
      <c r="G1132" s="12" t="s">
        <v>38</v>
      </c>
      <c r="H1132" s="12" t="s">
        <v>46</v>
      </c>
      <c r="I1132" s="12" t="n">
        <v>25</v>
      </c>
      <c r="J1132" s="12" t="s">
        <v>40</v>
      </c>
      <c r="K1132" s="12" t="s">
        <v>41</v>
      </c>
      <c r="L1132" s="12" t="str">
        <f aca="false">IF(OR(H1132="Severe",H1132="Life-Threatening"),"Yes","No")</f>
        <v>No</v>
      </c>
      <c r="M1132" s="12" t="str">
        <f aca="false">IF(B1132&lt;18,"0-17",IF(B1132&lt;40,"18-39",IF(B1132&lt;60,"40-59","60+")))</f>
        <v>60+</v>
      </c>
      <c r="N1132" s="12" t="str">
        <f aca="false">IF(I1132&lt;=1,"0-1 days",IF(I1132&lt;=7,"2-7 days",IF(I1132&lt;=30,"8-30 days","&gt;30 days")))</f>
        <v>8-30 days</v>
      </c>
    </row>
    <row r="1133" customFormat="false" ht="15" hidden="false" customHeight="false" outlineLevel="0" collapsed="false">
      <c r="A1133" s="12" t="s">
        <v>1374</v>
      </c>
      <c r="B1133" s="12" t="n">
        <v>52</v>
      </c>
      <c r="C1133" s="12" t="s">
        <v>34</v>
      </c>
      <c r="D1133" s="12" t="s">
        <v>155</v>
      </c>
      <c r="E1133" s="12" t="s">
        <v>150</v>
      </c>
      <c r="F1133" s="12" t="s">
        <v>151</v>
      </c>
      <c r="G1133" s="12" t="s">
        <v>152</v>
      </c>
      <c r="H1133" s="12" t="s">
        <v>46</v>
      </c>
      <c r="I1133" s="12" t="n">
        <v>1</v>
      </c>
      <c r="J1133" s="12" t="s">
        <v>40</v>
      </c>
      <c r="K1133" s="12" t="s">
        <v>147</v>
      </c>
      <c r="L1133" s="12" t="str">
        <f aca="false">IF(OR(H1133="Severe",H1133="Life-Threatening"),"Yes","No")</f>
        <v>No</v>
      </c>
      <c r="M1133" s="12" t="str">
        <f aca="false">IF(B1133&lt;18,"0-17",IF(B1133&lt;40,"18-39",IF(B1133&lt;60,"40-59","60+")))</f>
        <v>40-59</v>
      </c>
      <c r="N1133" s="12" t="str">
        <f aca="false">IF(I1133&lt;=1,"0-1 days",IF(I1133&lt;=7,"2-7 days",IF(I1133&lt;=30,"8-30 days","&gt;30 days")))</f>
        <v>0-1 days</v>
      </c>
    </row>
    <row r="1134" customFormat="false" ht="15" hidden="false" customHeight="false" outlineLevel="0" collapsed="false">
      <c r="A1134" s="12" t="s">
        <v>1375</v>
      </c>
      <c r="B1134" s="12" t="n">
        <v>37</v>
      </c>
      <c r="C1134" s="12" t="s">
        <v>43</v>
      </c>
      <c r="D1134" s="12" t="s">
        <v>245</v>
      </c>
      <c r="E1134" s="12" t="s">
        <v>191</v>
      </c>
      <c r="F1134" s="12" t="s">
        <v>128</v>
      </c>
      <c r="G1134" s="12" t="s">
        <v>53</v>
      </c>
      <c r="H1134" s="12" t="s">
        <v>76</v>
      </c>
      <c r="I1134" s="12" t="n">
        <v>7</v>
      </c>
      <c r="J1134" s="12" t="s">
        <v>67</v>
      </c>
      <c r="K1134" s="12" t="s">
        <v>48</v>
      </c>
      <c r="L1134" s="12" t="str">
        <f aca="false">IF(OR(H1134="Severe",H1134="Life-Threatening"),"Yes","No")</f>
        <v>Yes</v>
      </c>
      <c r="M1134" s="12" t="str">
        <f aca="false">IF(B1134&lt;18,"0-17",IF(B1134&lt;40,"18-39",IF(B1134&lt;60,"40-59","60+")))</f>
        <v>18-39</v>
      </c>
      <c r="N1134" s="12" t="str">
        <f aca="false">IF(I1134&lt;=1,"0-1 days",IF(I1134&lt;=7,"2-7 days",IF(I1134&lt;=30,"8-30 days","&gt;30 days")))</f>
        <v>2-7 days</v>
      </c>
    </row>
    <row r="1135" customFormat="false" ht="15" hidden="false" customHeight="false" outlineLevel="0" collapsed="false">
      <c r="A1135" s="12" t="s">
        <v>1376</v>
      </c>
      <c r="B1135" s="12" t="n">
        <v>65</v>
      </c>
      <c r="C1135" s="12" t="s">
        <v>34</v>
      </c>
      <c r="D1135" s="12" t="s">
        <v>50</v>
      </c>
      <c r="E1135" s="12" t="s">
        <v>266</v>
      </c>
      <c r="F1135" s="12" t="s">
        <v>114</v>
      </c>
      <c r="G1135" s="12" t="s">
        <v>115</v>
      </c>
      <c r="H1135" s="12" t="s">
        <v>59</v>
      </c>
      <c r="I1135" s="12" t="n">
        <v>7</v>
      </c>
      <c r="J1135" s="12" t="s">
        <v>40</v>
      </c>
      <c r="K1135" s="12" t="s">
        <v>48</v>
      </c>
      <c r="L1135" s="12" t="str">
        <f aca="false">IF(OR(H1135="Severe",H1135="Life-Threatening"),"Yes","No")</f>
        <v>Yes</v>
      </c>
      <c r="M1135" s="12" t="str">
        <f aca="false">IF(B1135&lt;18,"0-17",IF(B1135&lt;40,"18-39",IF(B1135&lt;60,"40-59","60+")))</f>
        <v>60+</v>
      </c>
      <c r="N1135" s="12" t="str">
        <f aca="false">IF(I1135&lt;=1,"0-1 days",IF(I1135&lt;=7,"2-7 days",IF(I1135&lt;=30,"8-30 days","&gt;30 days")))</f>
        <v>2-7 days</v>
      </c>
    </row>
    <row r="1136" customFormat="false" ht="15" hidden="false" customHeight="false" outlineLevel="0" collapsed="false">
      <c r="A1136" s="12" t="s">
        <v>1377</v>
      </c>
      <c r="B1136" s="12" t="n">
        <v>50</v>
      </c>
      <c r="C1136" s="12" t="s">
        <v>43</v>
      </c>
      <c r="D1136" s="12" t="s">
        <v>35</v>
      </c>
      <c r="E1136" s="12" t="s">
        <v>89</v>
      </c>
      <c r="F1136" s="12" t="s">
        <v>364</v>
      </c>
      <c r="G1136" s="12" t="s">
        <v>38</v>
      </c>
      <c r="H1136" s="12" t="s">
        <v>39</v>
      </c>
      <c r="I1136" s="12" t="n">
        <v>9</v>
      </c>
      <c r="J1136" s="12" t="s">
        <v>40</v>
      </c>
      <c r="K1136" s="12" t="s">
        <v>48</v>
      </c>
      <c r="L1136" s="12" t="str">
        <f aca="false">IF(OR(H1136="Severe",H1136="Life-Threatening"),"Yes","No")</f>
        <v>No</v>
      </c>
      <c r="M1136" s="12" t="str">
        <f aca="false">IF(B1136&lt;18,"0-17",IF(B1136&lt;40,"18-39",IF(B1136&lt;60,"40-59","60+")))</f>
        <v>40-59</v>
      </c>
      <c r="N1136" s="12" t="str">
        <f aca="false">IF(I1136&lt;=1,"0-1 days",IF(I1136&lt;=7,"2-7 days",IF(I1136&lt;=30,"8-30 days","&gt;30 days")))</f>
        <v>8-30 days</v>
      </c>
    </row>
    <row r="1137" customFormat="false" ht="15" hidden="false" customHeight="false" outlineLevel="0" collapsed="false">
      <c r="A1137" s="12" t="s">
        <v>1378</v>
      </c>
      <c r="B1137" s="12" t="n">
        <v>51</v>
      </c>
      <c r="C1137" s="12" t="s">
        <v>34</v>
      </c>
      <c r="D1137" s="12" t="s">
        <v>35</v>
      </c>
      <c r="E1137" s="12" t="s">
        <v>213</v>
      </c>
      <c r="F1137" s="12" t="s">
        <v>214</v>
      </c>
      <c r="G1137" s="12" t="s">
        <v>115</v>
      </c>
      <c r="H1137" s="12" t="s">
        <v>39</v>
      </c>
      <c r="I1137" s="12" t="n">
        <v>25</v>
      </c>
      <c r="J1137" s="12" t="s">
        <v>40</v>
      </c>
      <c r="K1137" s="12" t="s">
        <v>63</v>
      </c>
      <c r="L1137" s="12" t="str">
        <f aca="false">IF(OR(H1137="Severe",H1137="Life-Threatening"),"Yes","No")</f>
        <v>No</v>
      </c>
      <c r="M1137" s="12" t="str">
        <f aca="false">IF(B1137&lt;18,"0-17",IF(B1137&lt;40,"18-39",IF(B1137&lt;60,"40-59","60+")))</f>
        <v>40-59</v>
      </c>
      <c r="N1137" s="12" t="str">
        <f aca="false">IF(I1137&lt;=1,"0-1 days",IF(I1137&lt;=7,"2-7 days",IF(I1137&lt;=30,"8-30 days","&gt;30 days")))</f>
        <v>8-30 days</v>
      </c>
    </row>
    <row r="1138" customFormat="false" ht="15" hidden="false" customHeight="false" outlineLevel="0" collapsed="false">
      <c r="A1138" s="12" t="s">
        <v>1379</v>
      </c>
      <c r="B1138" s="12" t="n">
        <v>1</v>
      </c>
      <c r="C1138" s="12" t="s">
        <v>34</v>
      </c>
      <c r="D1138" s="12" t="s">
        <v>69</v>
      </c>
      <c r="E1138" s="12" t="s">
        <v>183</v>
      </c>
      <c r="F1138" s="12" t="s">
        <v>325</v>
      </c>
      <c r="G1138" s="12" t="s">
        <v>177</v>
      </c>
      <c r="H1138" s="12" t="s">
        <v>76</v>
      </c>
      <c r="I1138" s="12" t="n">
        <v>25</v>
      </c>
      <c r="J1138" s="12" t="s">
        <v>40</v>
      </c>
      <c r="K1138" s="12" t="s">
        <v>63</v>
      </c>
      <c r="L1138" s="12" t="str">
        <f aca="false">IF(OR(H1138="Severe",H1138="Life-Threatening"),"Yes","No")</f>
        <v>Yes</v>
      </c>
      <c r="M1138" s="12" t="str">
        <f aca="false">IF(B1138&lt;18,"0-17",IF(B1138&lt;40,"18-39",IF(B1138&lt;60,"40-59","60+")))</f>
        <v>0-17</v>
      </c>
      <c r="N1138" s="12" t="str">
        <f aca="false">IF(I1138&lt;=1,"0-1 days",IF(I1138&lt;=7,"2-7 days",IF(I1138&lt;=30,"8-30 days","&gt;30 days")))</f>
        <v>8-30 days</v>
      </c>
    </row>
    <row r="1139" customFormat="false" ht="15" hidden="false" customHeight="false" outlineLevel="0" collapsed="false">
      <c r="A1139" s="12" t="s">
        <v>1380</v>
      </c>
      <c r="B1139" s="12" t="n">
        <v>24</v>
      </c>
      <c r="C1139" s="12" t="s">
        <v>34</v>
      </c>
      <c r="D1139" s="12" t="s">
        <v>196</v>
      </c>
      <c r="E1139" s="12" t="s">
        <v>656</v>
      </c>
      <c r="F1139" s="12" t="s">
        <v>435</v>
      </c>
      <c r="G1139" s="12" t="s">
        <v>146</v>
      </c>
      <c r="H1139" s="12" t="s">
        <v>39</v>
      </c>
      <c r="I1139" s="12" t="n">
        <v>20</v>
      </c>
      <c r="J1139" s="12" t="s">
        <v>40</v>
      </c>
      <c r="K1139" s="12" t="s">
        <v>48</v>
      </c>
      <c r="L1139" s="12" t="str">
        <f aca="false">IF(OR(H1139="Severe",H1139="Life-Threatening"),"Yes","No")</f>
        <v>No</v>
      </c>
      <c r="M1139" s="12" t="str">
        <f aca="false">IF(B1139&lt;18,"0-17",IF(B1139&lt;40,"18-39",IF(B1139&lt;60,"40-59","60+")))</f>
        <v>18-39</v>
      </c>
      <c r="N1139" s="12" t="str">
        <f aca="false">IF(I1139&lt;=1,"0-1 days",IF(I1139&lt;=7,"2-7 days",IF(I1139&lt;=30,"8-30 days","&gt;30 days")))</f>
        <v>8-30 days</v>
      </c>
    </row>
    <row r="1140" customFormat="false" ht="15" hidden="false" customHeight="false" outlineLevel="0" collapsed="false">
      <c r="A1140" s="12" t="s">
        <v>1381</v>
      </c>
      <c r="B1140" s="12" t="n">
        <v>22</v>
      </c>
      <c r="C1140" s="12" t="s">
        <v>43</v>
      </c>
      <c r="D1140" s="12" t="s">
        <v>168</v>
      </c>
      <c r="E1140" s="12" t="s">
        <v>121</v>
      </c>
      <c r="F1140" s="12" t="s">
        <v>565</v>
      </c>
      <c r="G1140" s="12" t="s">
        <v>115</v>
      </c>
      <c r="H1140" s="12" t="s">
        <v>39</v>
      </c>
      <c r="I1140" s="12" t="n">
        <v>29</v>
      </c>
      <c r="J1140" s="12" t="s">
        <v>40</v>
      </c>
      <c r="K1140" s="12" t="s">
        <v>63</v>
      </c>
      <c r="L1140" s="12" t="str">
        <f aca="false">IF(OR(H1140="Severe",H1140="Life-Threatening"),"Yes","No")</f>
        <v>No</v>
      </c>
      <c r="M1140" s="12" t="str">
        <f aca="false">IF(B1140&lt;18,"0-17",IF(B1140&lt;40,"18-39",IF(B1140&lt;60,"40-59","60+")))</f>
        <v>18-39</v>
      </c>
      <c r="N1140" s="12" t="str">
        <f aca="false">IF(I1140&lt;=1,"0-1 days",IF(I1140&lt;=7,"2-7 days",IF(I1140&lt;=30,"8-30 days","&gt;30 days")))</f>
        <v>8-30 days</v>
      </c>
    </row>
    <row r="1141" customFormat="false" ht="15" hidden="false" customHeight="false" outlineLevel="0" collapsed="false">
      <c r="A1141" s="12" t="s">
        <v>1382</v>
      </c>
      <c r="B1141" s="12" t="n">
        <v>59</v>
      </c>
      <c r="C1141" s="12" t="s">
        <v>34</v>
      </c>
      <c r="D1141" s="12" t="s">
        <v>155</v>
      </c>
      <c r="E1141" s="12" t="s">
        <v>227</v>
      </c>
      <c r="F1141" s="12" t="s">
        <v>264</v>
      </c>
      <c r="G1141" s="12" t="s">
        <v>104</v>
      </c>
      <c r="H1141" s="12" t="s">
        <v>76</v>
      </c>
      <c r="I1141" s="12" t="n">
        <v>11</v>
      </c>
      <c r="J1141" s="12" t="s">
        <v>67</v>
      </c>
      <c r="K1141" s="12" t="s">
        <v>63</v>
      </c>
      <c r="L1141" s="12" t="str">
        <f aca="false">IF(OR(H1141="Severe",H1141="Life-Threatening"),"Yes","No")</f>
        <v>Yes</v>
      </c>
      <c r="M1141" s="12" t="str">
        <f aca="false">IF(B1141&lt;18,"0-17",IF(B1141&lt;40,"18-39",IF(B1141&lt;60,"40-59","60+")))</f>
        <v>40-59</v>
      </c>
      <c r="N1141" s="12" t="str">
        <f aca="false">IF(I1141&lt;=1,"0-1 days",IF(I1141&lt;=7,"2-7 days",IF(I1141&lt;=30,"8-30 days","&gt;30 days")))</f>
        <v>8-30 days</v>
      </c>
    </row>
    <row r="1142" customFormat="false" ht="15" hidden="false" customHeight="false" outlineLevel="0" collapsed="false">
      <c r="A1142" s="12" t="s">
        <v>1383</v>
      </c>
      <c r="B1142" s="12" t="n">
        <v>67</v>
      </c>
      <c r="C1142" s="12" t="s">
        <v>43</v>
      </c>
      <c r="D1142" s="12" t="s">
        <v>55</v>
      </c>
      <c r="E1142" s="12" t="s">
        <v>36</v>
      </c>
      <c r="F1142" s="12" t="s">
        <v>37</v>
      </c>
      <c r="G1142" s="12" t="s">
        <v>38</v>
      </c>
      <c r="H1142" s="12" t="s">
        <v>46</v>
      </c>
      <c r="I1142" s="12" t="n">
        <v>10</v>
      </c>
      <c r="J1142" s="12" t="s">
        <v>47</v>
      </c>
      <c r="K1142" s="12" t="s">
        <v>63</v>
      </c>
      <c r="L1142" s="12" t="str">
        <f aca="false">IF(OR(H1142="Severe",H1142="Life-Threatening"),"Yes","No")</f>
        <v>No</v>
      </c>
      <c r="M1142" s="12" t="str">
        <f aca="false">IF(B1142&lt;18,"0-17",IF(B1142&lt;40,"18-39",IF(B1142&lt;60,"40-59","60+")))</f>
        <v>60+</v>
      </c>
      <c r="N1142" s="12" t="str">
        <f aca="false">IF(I1142&lt;=1,"0-1 days",IF(I1142&lt;=7,"2-7 days",IF(I1142&lt;=30,"8-30 days","&gt;30 days")))</f>
        <v>8-30 days</v>
      </c>
    </row>
    <row r="1143" customFormat="false" ht="15" hidden="false" customHeight="false" outlineLevel="0" collapsed="false">
      <c r="A1143" s="12" t="s">
        <v>1384</v>
      </c>
      <c r="B1143" s="12" t="n">
        <v>53</v>
      </c>
      <c r="C1143" s="12" t="s">
        <v>43</v>
      </c>
      <c r="D1143" s="12" t="s">
        <v>50</v>
      </c>
      <c r="E1143" s="12" t="s">
        <v>70</v>
      </c>
      <c r="F1143" s="12" t="s">
        <v>71</v>
      </c>
      <c r="G1143" s="12" t="s">
        <v>72</v>
      </c>
      <c r="H1143" s="12" t="s">
        <v>59</v>
      </c>
      <c r="I1143" s="12" t="n">
        <v>0</v>
      </c>
      <c r="J1143" s="12" t="s">
        <v>67</v>
      </c>
      <c r="K1143" s="12" t="s">
        <v>63</v>
      </c>
      <c r="L1143" s="12" t="str">
        <f aca="false">IF(OR(H1143="Severe",H1143="Life-Threatening"),"Yes","No")</f>
        <v>Yes</v>
      </c>
      <c r="M1143" s="12" t="str">
        <f aca="false">IF(B1143&lt;18,"0-17",IF(B1143&lt;40,"18-39",IF(B1143&lt;60,"40-59","60+")))</f>
        <v>40-59</v>
      </c>
      <c r="N1143" s="12" t="str">
        <f aca="false">IF(I1143&lt;=1,"0-1 days",IF(I1143&lt;=7,"2-7 days",IF(I1143&lt;=30,"8-30 days","&gt;30 days")))</f>
        <v>0-1 days</v>
      </c>
    </row>
    <row r="1144" customFormat="false" ht="15" hidden="false" customHeight="false" outlineLevel="0" collapsed="false">
      <c r="A1144" s="12" t="s">
        <v>1385</v>
      </c>
      <c r="B1144" s="12" t="n">
        <v>50</v>
      </c>
      <c r="C1144" s="12" t="s">
        <v>34</v>
      </c>
      <c r="D1144" s="12" t="s">
        <v>99</v>
      </c>
      <c r="E1144" s="12" t="s">
        <v>74</v>
      </c>
      <c r="F1144" s="12" t="s">
        <v>214</v>
      </c>
      <c r="G1144" s="12" t="s">
        <v>115</v>
      </c>
      <c r="H1144" s="12" t="s">
        <v>39</v>
      </c>
      <c r="I1144" s="12" t="n">
        <v>15</v>
      </c>
      <c r="J1144" s="12" t="s">
        <v>47</v>
      </c>
      <c r="K1144" s="12" t="s">
        <v>48</v>
      </c>
      <c r="L1144" s="12" t="str">
        <f aca="false">IF(OR(H1144="Severe",H1144="Life-Threatening"),"Yes","No")</f>
        <v>No</v>
      </c>
      <c r="M1144" s="12" t="str">
        <f aca="false">IF(B1144&lt;18,"0-17",IF(B1144&lt;40,"18-39",IF(B1144&lt;60,"40-59","60+")))</f>
        <v>40-59</v>
      </c>
      <c r="N1144" s="12" t="str">
        <f aca="false">IF(I1144&lt;=1,"0-1 days",IF(I1144&lt;=7,"2-7 days",IF(I1144&lt;=30,"8-30 days","&gt;30 days")))</f>
        <v>8-30 days</v>
      </c>
    </row>
    <row r="1145" customFormat="false" ht="15" hidden="false" customHeight="false" outlineLevel="0" collapsed="false">
      <c r="A1145" s="12" t="s">
        <v>1386</v>
      </c>
      <c r="B1145" s="12" t="n">
        <v>21</v>
      </c>
      <c r="C1145" s="12" t="s">
        <v>34</v>
      </c>
      <c r="D1145" s="12" t="s">
        <v>91</v>
      </c>
      <c r="E1145" s="12" t="s">
        <v>253</v>
      </c>
      <c r="F1145" s="12" t="s">
        <v>135</v>
      </c>
      <c r="G1145" s="12" t="s">
        <v>136</v>
      </c>
      <c r="H1145" s="12" t="s">
        <v>39</v>
      </c>
      <c r="I1145" s="12" t="n">
        <v>3</v>
      </c>
      <c r="J1145" s="12" t="s">
        <v>169</v>
      </c>
      <c r="K1145" s="12" t="s">
        <v>63</v>
      </c>
      <c r="L1145" s="12" t="str">
        <f aca="false">IF(OR(H1145="Severe",H1145="Life-Threatening"),"Yes","No")</f>
        <v>No</v>
      </c>
      <c r="M1145" s="12" t="str">
        <f aca="false">IF(B1145&lt;18,"0-17",IF(B1145&lt;40,"18-39",IF(B1145&lt;60,"40-59","60+")))</f>
        <v>18-39</v>
      </c>
      <c r="N1145" s="12" t="str">
        <f aca="false">IF(I1145&lt;=1,"0-1 days",IF(I1145&lt;=7,"2-7 days",IF(I1145&lt;=30,"8-30 days","&gt;30 days")))</f>
        <v>2-7 days</v>
      </c>
    </row>
    <row r="1146" customFormat="false" ht="15" hidden="false" customHeight="false" outlineLevel="0" collapsed="false">
      <c r="A1146" s="12" t="s">
        <v>1387</v>
      </c>
      <c r="B1146" s="12" t="n">
        <v>51</v>
      </c>
      <c r="C1146" s="12" t="s">
        <v>34</v>
      </c>
      <c r="D1146" s="12" t="s">
        <v>149</v>
      </c>
      <c r="E1146" s="12" t="s">
        <v>36</v>
      </c>
      <c r="F1146" s="12" t="s">
        <v>37</v>
      </c>
      <c r="G1146" s="12" t="s">
        <v>38</v>
      </c>
      <c r="H1146" s="12" t="s">
        <v>46</v>
      </c>
      <c r="I1146" s="12" t="n">
        <v>27</v>
      </c>
      <c r="J1146" s="12" t="s">
        <v>40</v>
      </c>
      <c r="K1146" s="12" t="s">
        <v>41</v>
      </c>
      <c r="L1146" s="12" t="str">
        <f aca="false">IF(OR(H1146="Severe",H1146="Life-Threatening"),"Yes","No")</f>
        <v>No</v>
      </c>
      <c r="M1146" s="12" t="str">
        <f aca="false">IF(B1146&lt;18,"0-17",IF(B1146&lt;40,"18-39",IF(B1146&lt;60,"40-59","60+")))</f>
        <v>40-59</v>
      </c>
      <c r="N1146" s="12" t="str">
        <f aca="false">IF(I1146&lt;=1,"0-1 days",IF(I1146&lt;=7,"2-7 days",IF(I1146&lt;=30,"8-30 days","&gt;30 days")))</f>
        <v>8-30 days</v>
      </c>
    </row>
    <row r="1147" customFormat="false" ht="15" hidden="false" customHeight="false" outlineLevel="0" collapsed="false">
      <c r="A1147" s="12" t="s">
        <v>1388</v>
      </c>
      <c r="B1147" s="12" t="n">
        <v>46</v>
      </c>
      <c r="C1147" s="12" t="s">
        <v>43</v>
      </c>
      <c r="D1147" s="12" t="s">
        <v>211</v>
      </c>
      <c r="E1147" s="12" t="s">
        <v>113</v>
      </c>
      <c r="F1147" s="12" t="s">
        <v>62</v>
      </c>
      <c r="G1147" s="12" t="s">
        <v>53</v>
      </c>
      <c r="H1147" s="12" t="s">
        <v>76</v>
      </c>
      <c r="I1147" s="12" t="n">
        <v>4</v>
      </c>
      <c r="J1147" s="12" t="s">
        <v>40</v>
      </c>
      <c r="K1147" s="12" t="s">
        <v>41</v>
      </c>
      <c r="L1147" s="12" t="str">
        <f aca="false">IF(OR(H1147="Severe",H1147="Life-Threatening"),"Yes","No")</f>
        <v>Yes</v>
      </c>
      <c r="M1147" s="12" t="str">
        <f aca="false">IF(B1147&lt;18,"0-17",IF(B1147&lt;40,"18-39",IF(B1147&lt;60,"40-59","60+")))</f>
        <v>40-59</v>
      </c>
      <c r="N1147" s="12" t="str">
        <f aca="false">IF(I1147&lt;=1,"0-1 days",IF(I1147&lt;=7,"2-7 days",IF(I1147&lt;=30,"8-30 days","&gt;30 days")))</f>
        <v>2-7 days</v>
      </c>
    </row>
    <row r="1148" customFormat="false" ht="15" hidden="false" customHeight="false" outlineLevel="0" collapsed="false">
      <c r="A1148" s="12" t="s">
        <v>1389</v>
      </c>
      <c r="B1148" s="12" t="n">
        <v>75</v>
      </c>
      <c r="C1148" s="12" t="s">
        <v>34</v>
      </c>
      <c r="D1148" s="12" t="s">
        <v>196</v>
      </c>
      <c r="E1148" s="12" t="s">
        <v>113</v>
      </c>
      <c r="F1148" s="12" t="s">
        <v>62</v>
      </c>
      <c r="G1148" s="12" t="s">
        <v>53</v>
      </c>
      <c r="H1148" s="12" t="s">
        <v>59</v>
      </c>
      <c r="I1148" s="12" t="n">
        <v>19</v>
      </c>
      <c r="J1148" s="12" t="s">
        <v>47</v>
      </c>
      <c r="K1148" s="12" t="s">
        <v>48</v>
      </c>
      <c r="L1148" s="12" t="str">
        <f aca="false">IF(OR(H1148="Severe",H1148="Life-Threatening"),"Yes","No")</f>
        <v>Yes</v>
      </c>
      <c r="M1148" s="12" t="str">
        <f aca="false">IF(B1148&lt;18,"0-17",IF(B1148&lt;40,"18-39",IF(B1148&lt;60,"40-59","60+")))</f>
        <v>60+</v>
      </c>
      <c r="N1148" s="12" t="str">
        <f aca="false">IF(I1148&lt;=1,"0-1 days",IF(I1148&lt;=7,"2-7 days",IF(I1148&lt;=30,"8-30 days","&gt;30 days")))</f>
        <v>8-30 days</v>
      </c>
    </row>
    <row r="1149" customFormat="false" ht="15" hidden="false" customHeight="false" outlineLevel="0" collapsed="false">
      <c r="A1149" s="12" t="s">
        <v>1390</v>
      </c>
      <c r="B1149" s="12" t="n">
        <v>62</v>
      </c>
      <c r="C1149" s="12" t="s">
        <v>34</v>
      </c>
      <c r="D1149" s="12" t="s">
        <v>85</v>
      </c>
      <c r="E1149" s="12" t="s">
        <v>268</v>
      </c>
      <c r="F1149" s="12" t="s">
        <v>269</v>
      </c>
      <c r="G1149" s="12" t="s">
        <v>38</v>
      </c>
      <c r="H1149" s="12" t="s">
        <v>39</v>
      </c>
      <c r="I1149" s="12" t="n">
        <v>2</v>
      </c>
      <c r="J1149" s="12" t="s">
        <v>169</v>
      </c>
      <c r="K1149" s="12" t="s">
        <v>48</v>
      </c>
      <c r="L1149" s="12" t="str">
        <f aca="false">IF(OR(H1149="Severe",H1149="Life-Threatening"),"Yes","No")</f>
        <v>No</v>
      </c>
      <c r="M1149" s="12" t="str">
        <f aca="false">IF(B1149&lt;18,"0-17",IF(B1149&lt;40,"18-39",IF(B1149&lt;60,"40-59","60+")))</f>
        <v>60+</v>
      </c>
      <c r="N1149" s="12" t="str">
        <f aca="false">IF(I1149&lt;=1,"0-1 days",IF(I1149&lt;=7,"2-7 days",IF(I1149&lt;=30,"8-30 days","&gt;30 days")))</f>
        <v>2-7 days</v>
      </c>
    </row>
    <row r="1150" customFormat="false" ht="15" hidden="false" customHeight="false" outlineLevel="0" collapsed="false">
      <c r="A1150" s="12" t="s">
        <v>1391</v>
      </c>
      <c r="B1150" s="12" t="n">
        <v>13</v>
      </c>
      <c r="C1150" s="12" t="s">
        <v>43</v>
      </c>
      <c r="D1150" s="12" t="s">
        <v>190</v>
      </c>
      <c r="E1150" s="12" t="s">
        <v>191</v>
      </c>
      <c r="F1150" s="12" t="s">
        <v>192</v>
      </c>
      <c r="G1150" s="12" t="s">
        <v>53</v>
      </c>
      <c r="H1150" s="12" t="s">
        <v>39</v>
      </c>
      <c r="I1150" s="12" t="n">
        <v>6</v>
      </c>
      <c r="J1150" s="12" t="s">
        <v>67</v>
      </c>
      <c r="K1150" s="12" t="s">
        <v>48</v>
      </c>
      <c r="L1150" s="12" t="str">
        <f aca="false">IF(OR(H1150="Severe",H1150="Life-Threatening"),"Yes","No")</f>
        <v>No</v>
      </c>
      <c r="M1150" s="12" t="str">
        <f aca="false">IF(B1150&lt;18,"0-17",IF(B1150&lt;40,"18-39",IF(B1150&lt;60,"40-59","60+")))</f>
        <v>0-17</v>
      </c>
      <c r="N1150" s="12" t="str">
        <f aca="false">IF(I1150&lt;=1,"0-1 days",IF(I1150&lt;=7,"2-7 days",IF(I1150&lt;=30,"8-30 days","&gt;30 days")))</f>
        <v>2-7 days</v>
      </c>
    </row>
    <row r="1151" customFormat="false" ht="15" hidden="false" customHeight="false" outlineLevel="0" collapsed="false">
      <c r="A1151" s="12" t="s">
        <v>1392</v>
      </c>
      <c r="B1151" s="12" t="n">
        <v>66</v>
      </c>
      <c r="C1151" s="12" t="s">
        <v>43</v>
      </c>
      <c r="D1151" s="12" t="s">
        <v>245</v>
      </c>
      <c r="E1151" s="12" t="s">
        <v>243</v>
      </c>
      <c r="F1151" s="12" t="s">
        <v>45</v>
      </c>
      <c r="G1151" s="12" t="s">
        <v>38</v>
      </c>
      <c r="H1151" s="12" t="s">
        <v>46</v>
      </c>
      <c r="I1151" s="12" t="n">
        <v>2</v>
      </c>
      <c r="J1151" s="12" t="s">
        <v>47</v>
      </c>
      <c r="K1151" s="12" t="s">
        <v>48</v>
      </c>
      <c r="L1151" s="12" t="str">
        <f aca="false">IF(OR(H1151="Severe",H1151="Life-Threatening"),"Yes","No")</f>
        <v>No</v>
      </c>
      <c r="M1151" s="12" t="str">
        <f aca="false">IF(B1151&lt;18,"0-17",IF(B1151&lt;40,"18-39",IF(B1151&lt;60,"40-59","60+")))</f>
        <v>60+</v>
      </c>
      <c r="N1151" s="12" t="str">
        <f aca="false">IF(I1151&lt;=1,"0-1 days",IF(I1151&lt;=7,"2-7 days",IF(I1151&lt;=30,"8-30 days","&gt;30 days")))</f>
        <v>2-7 days</v>
      </c>
    </row>
    <row r="1152" customFormat="false" ht="15" hidden="false" customHeight="false" outlineLevel="0" collapsed="false">
      <c r="A1152" s="12" t="s">
        <v>1393</v>
      </c>
      <c r="B1152" s="12" t="n">
        <v>16</v>
      </c>
      <c r="C1152" s="12" t="s">
        <v>43</v>
      </c>
      <c r="D1152" s="12" t="s">
        <v>91</v>
      </c>
      <c r="E1152" s="12" t="s">
        <v>36</v>
      </c>
      <c r="F1152" s="12" t="s">
        <v>364</v>
      </c>
      <c r="G1152" s="12" t="s">
        <v>38</v>
      </c>
      <c r="H1152" s="12" t="s">
        <v>76</v>
      </c>
      <c r="I1152" s="12" t="n">
        <v>30</v>
      </c>
      <c r="J1152" s="12" t="s">
        <v>40</v>
      </c>
      <c r="K1152" s="12" t="s">
        <v>48</v>
      </c>
      <c r="L1152" s="12" t="str">
        <f aca="false">IF(OR(H1152="Severe",H1152="Life-Threatening"),"Yes","No")</f>
        <v>Yes</v>
      </c>
      <c r="M1152" s="12" t="str">
        <f aca="false">IF(B1152&lt;18,"0-17",IF(B1152&lt;40,"18-39",IF(B1152&lt;60,"40-59","60+")))</f>
        <v>0-17</v>
      </c>
      <c r="N1152" s="12" t="str">
        <f aca="false">IF(I1152&lt;=1,"0-1 days",IF(I1152&lt;=7,"2-7 days",IF(I1152&lt;=30,"8-30 days","&gt;30 days")))</f>
        <v>8-30 days</v>
      </c>
    </row>
    <row r="1153" customFormat="false" ht="15" hidden="false" customHeight="false" outlineLevel="0" collapsed="false">
      <c r="A1153" s="12" t="s">
        <v>1394</v>
      </c>
      <c r="B1153" s="12" t="n">
        <v>40</v>
      </c>
      <c r="C1153" s="12" t="s">
        <v>43</v>
      </c>
      <c r="D1153" s="12" t="s">
        <v>69</v>
      </c>
      <c r="E1153" s="12" t="s">
        <v>272</v>
      </c>
      <c r="F1153" s="12" t="s">
        <v>214</v>
      </c>
      <c r="G1153" s="12" t="s">
        <v>115</v>
      </c>
      <c r="H1153" s="12" t="s">
        <v>39</v>
      </c>
      <c r="I1153" s="12" t="n">
        <v>1</v>
      </c>
      <c r="J1153" s="12" t="s">
        <v>47</v>
      </c>
      <c r="K1153" s="12" t="s">
        <v>48</v>
      </c>
      <c r="L1153" s="12" t="str">
        <f aca="false">IF(OR(H1153="Severe",H1153="Life-Threatening"),"Yes","No")</f>
        <v>No</v>
      </c>
      <c r="M1153" s="12" t="str">
        <f aca="false">IF(B1153&lt;18,"0-17",IF(B1153&lt;40,"18-39",IF(B1153&lt;60,"40-59","60+")))</f>
        <v>40-59</v>
      </c>
      <c r="N1153" s="12" t="str">
        <f aca="false">IF(I1153&lt;=1,"0-1 days",IF(I1153&lt;=7,"2-7 days",IF(I1153&lt;=30,"8-30 days","&gt;30 days")))</f>
        <v>0-1 days</v>
      </c>
    </row>
    <row r="1154" customFormat="false" ht="15" hidden="false" customHeight="false" outlineLevel="0" collapsed="false">
      <c r="A1154" s="12" t="s">
        <v>1395</v>
      </c>
      <c r="B1154" s="12" t="n">
        <v>43</v>
      </c>
      <c r="C1154" s="12" t="s">
        <v>34</v>
      </c>
      <c r="D1154" s="12" t="s">
        <v>168</v>
      </c>
      <c r="E1154" s="12" t="s">
        <v>386</v>
      </c>
      <c r="F1154" s="12" t="s">
        <v>531</v>
      </c>
      <c r="G1154" s="12" t="s">
        <v>94</v>
      </c>
      <c r="H1154" s="12" t="s">
        <v>39</v>
      </c>
      <c r="I1154" s="12" t="n">
        <v>18</v>
      </c>
      <c r="J1154" s="12" t="s">
        <v>169</v>
      </c>
      <c r="K1154" s="12" t="s">
        <v>48</v>
      </c>
      <c r="L1154" s="12" t="str">
        <f aca="false">IF(OR(H1154="Severe",H1154="Life-Threatening"),"Yes","No")</f>
        <v>No</v>
      </c>
      <c r="M1154" s="12" t="str">
        <f aca="false">IF(B1154&lt;18,"0-17",IF(B1154&lt;40,"18-39",IF(B1154&lt;60,"40-59","60+")))</f>
        <v>40-59</v>
      </c>
      <c r="N1154" s="12" t="str">
        <f aca="false">IF(I1154&lt;=1,"0-1 days",IF(I1154&lt;=7,"2-7 days",IF(I1154&lt;=30,"8-30 days","&gt;30 days")))</f>
        <v>8-30 days</v>
      </c>
    </row>
    <row r="1155" customFormat="false" ht="15" hidden="false" customHeight="false" outlineLevel="0" collapsed="false">
      <c r="A1155" s="12" t="s">
        <v>1396</v>
      </c>
      <c r="B1155" s="12" t="n">
        <v>57</v>
      </c>
      <c r="C1155" s="12" t="s">
        <v>34</v>
      </c>
      <c r="D1155" s="12" t="s">
        <v>55</v>
      </c>
      <c r="E1155" s="12" t="s">
        <v>239</v>
      </c>
      <c r="F1155" s="12" t="s">
        <v>62</v>
      </c>
      <c r="G1155" s="12" t="s">
        <v>53</v>
      </c>
      <c r="H1155" s="12" t="s">
        <v>46</v>
      </c>
      <c r="I1155" s="12" t="n">
        <v>4</v>
      </c>
      <c r="J1155" s="12" t="s">
        <v>40</v>
      </c>
      <c r="K1155" s="12" t="s">
        <v>48</v>
      </c>
      <c r="L1155" s="12" t="str">
        <f aca="false">IF(OR(H1155="Severe",H1155="Life-Threatening"),"Yes","No")</f>
        <v>No</v>
      </c>
      <c r="M1155" s="12" t="str">
        <f aca="false">IF(B1155&lt;18,"0-17",IF(B1155&lt;40,"18-39",IF(B1155&lt;60,"40-59","60+")))</f>
        <v>40-59</v>
      </c>
      <c r="N1155" s="12" t="str">
        <f aca="false">IF(I1155&lt;=1,"0-1 days",IF(I1155&lt;=7,"2-7 days",IF(I1155&lt;=30,"8-30 days","&gt;30 days")))</f>
        <v>2-7 days</v>
      </c>
    </row>
    <row r="1156" customFormat="false" ht="15" hidden="false" customHeight="false" outlineLevel="0" collapsed="false">
      <c r="A1156" s="12" t="s">
        <v>1397</v>
      </c>
      <c r="B1156" s="12" t="n">
        <v>48</v>
      </c>
      <c r="C1156" s="12" t="s">
        <v>43</v>
      </c>
      <c r="D1156" s="12" t="s">
        <v>55</v>
      </c>
      <c r="E1156" s="12" t="s">
        <v>65</v>
      </c>
      <c r="F1156" s="12" t="s">
        <v>237</v>
      </c>
      <c r="G1156" s="12" t="s">
        <v>80</v>
      </c>
      <c r="H1156" s="12" t="s">
        <v>76</v>
      </c>
      <c r="I1156" s="12" t="n">
        <v>35</v>
      </c>
      <c r="J1156" s="12" t="s">
        <v>67</v>
      </c>
      <c r="K1156" s="12" t="s">
        <v>41</v>
      </c>
      <c r="L1156" s="12" t="str">
        <f aca="false">IF(OR(H1156="Severe",H1156="Life-Threatening"),"Yes","No")</f>
        <v>Yes</v>
      </c>
      <c r="M1156" s="12" t="str">
        <f aca="false">IF(B1156&lt;18,"0-17",IF(B1156&lt;40,"18-39",IF(B1156&lt;60,"40-59","60+")))</f>
        <v>40-59</v>
      </c>
      <c r="N1156" s="12" t="str">
        <f aca="false">IF(I1156&lt;=1,"0-1 days",IF(I1156&lt;=7,"2-7 days",IF(I1156&lt;=30,"8-30 days","&gt;30 days")))</f>
        <v>&gt;30 days</v>
      </c>
    </row>
    <row r="1157" customFormat="false" ht="15" hidden="false" customHeight="false" outlineLevel="0" collapsed="false">
      <c r="A1157" s="12" t="s">
        <v>1398</v>
      </c>
      <c r="B1157" s="12" t="n">
        <v>35</v>
      </c>
      <c r="C1157" s="12" t="s">
        <v>43</v>
      </c>
      <c r="D1157" s="12" t="s">
        <v>55</v>
      </c>
      <c r="E1157" s="12" t="s">
        <v>173</v>
      </c>
      <c r="F1157" s="12" t="s">
        <v>131</v>
      </c>
      <c r="G1157" s="12" t="s">
        <v>94</v>
      </c>
      <c r="H1157" s="12" t="s">
        <v>76</v>
      </c>
      <c r="I1157" s="12" t="n">
        <v>25</v>
      </c>
      <c r="J1157" s="12" t="s">
        <v>47</v>
      </c>
      <c r="K1157" s="12" t="s">
        <v>63</v>
      </c>
      <c r="L1157" s="12" t="str">
        <f aca="false">IF(OR(H1157="Severe",H1157="Life-Threatening"),"Yes","No")</f>
        <v>Yes</v>
      </c>
      <c r="M1157" s="12" t="str">
        <f aca="false">IF(B1157&lt;18,"0-17",IF(B1157&lt;40,"18-39",IF(B1157&lt;60,"40-59","60+")))</f>
        <v>18-39</v>
      </c>
      <c r="N1157" s="12" t="str">
        <f aca="false">IF(I1157&lt;=1,"0-1 days",IF(I1157&lt;=7,"2-7 days",IF(I1157&lt;=30,"8-30 days","&gt;30 days")))</f>
        <v>8-30 days</v>
      </c>
    </row>
    <row r="1158" customFormat="false" ht="15" hidden="false" customHeight="false" outlineLevel="0" collapsed="false">
      <c r="A1158" s="12" t="s">
        <v>1399</v>
      </c>
      <c r="B1158" s="12" t="n">
        <v>43</v>
      </c>
      <c r="C1158" s="12" t="s">
        <v>43</v>
      </c>
      <c r="D1158" s="12" t="s">
        <v>50</v>
      </c>
      <c r="E1158" s="12" t="s">
        <v>183</v>
      </c>
      <c r="F1158" s="12" t="s">
        <v>325</v>
      </c>
      <c r="G1158" s="12" t="s">
        <v>177</v>
      </c>
      <c r="H1158" s="12" t="s">
        <v>39</v>
      </c>
      <c r="I1158" s="12" t="n">
        <v>26</v>
      </c>
      <c r="J1158" s="12" t="s">
        <v>47</v>
      </c>
      <c r="K1158" s="12" t="s">
        <v>48</v>
      </c>
      <c r="L1158" s="12" t="str">
        <f aca="false">IF(OR(H1158="Severe",H1158="Life-Threatening"),"Yes","No")</f>
        <v>No</v>
      </c>
      <c r="M1158" s="12" t="str">
        <f aca="false">IF(B1158&lt;18,"0-17",IF(B1158&lt;40,"18-39",IF(B1158&lt;60,"40-59","60+")))</f>
        <v>40-59</v>
      </c>
      <c r="N1158" s="12" t="str">
        <f aca="false">IF(I1158&lt;=1,"0-1 days",IF(I1158&lt;=7,"2-7 days",IF(I1158&lt;=30,"8-30 days","&gt;30 days")))</f>
        <v>8-30 days</v>
      </c>
    </row>
    <row r="1159" customFormat="false" ht="15" hidden="false" customHeight="false" outlineLevel="0" collapsed="false">
      <c r="A1159" s="12" t="s">
        <v>1400</v>
      </c>
      <c r="B1159" s="12" t="n">
        <v>70</v>
      </c>
      <c r="C1159" s="12" t="s">
        <v>43</v>
      </c>
      <c r="D1159" s="12" t="s">
        <v>112</v>
      </c>
      <c r="E1159" s="12" t="s">
        <v>498</v>
      </c>
      <c r="F1159" s="12" t="s">
        <v>93</v>
      </c>
      <c r="G1159" s="12" t="s">
        <v>94</v>
      </c>
      <c r="H1159" s="12" t="s">
        <v>59</v>
      </c>
      <c r="I1159" s="12" t="n">
        <v>43</v>
      </c>
      <c r="J1159" s="12" t="s">
        <v>67</v>
      </c>
      <c r="K1159" s="12" t="s">
        <v>48</v>
      </c>
      <c r="L1159" s="12" t="str">
        <f aca="false">IF(OR(H1159="Severe",H1159="Life-Threatening"),"Yes","No")</f>
        <v>Yes</v>
      </c>
      <c r="M1159" s="12" t="str">
        <f aca="false">IF(B1159&lt;18,"0-17",IF(B1159&lt;40,"18-39",IF(B1159&lt;60,"40-59","60+")))</f>
        <v>60+</v>
      </c>
      <c r="N1159" s="12" t="str">
        <f aca="false">IF(I1159&lt;=1,"0-1 days",IF(I1159&lt;=7,"2-7 days",IF(I1159&lt;=30,"8-30 days","&gt;30 days")))</f>
        <v>&gt;30 days</v>
      </c>
    </row>
    <row r="1160" customFormat="false" ht="15" hidden="false" customHeight="false" outlineLevel="0" collapsed="false">
      <c r="A1160" s="12" t="s">
        <v>1401</v>
      </c>
      <c r="B1160" s="12" t="n">
        <v>79</v>
      </c>
      <c r="C1160" s="12" t="s">
        <v>43</v>
      </c>
      <c r="D1160" s="12" t="s">
        <v>35</v>
      </c>
      <c r="E1160" s="12" t="s">
        <v>173</v>
      </c>
      <c r="F1160" s="12" t="s">
        <v>214</v>
      </c>
      <c r="G1160" s="12" t="s">
        <v>115</v>
      </c>
      <c r="H1160" s="12" t="s">
        <v>39</v>
      </c>
      <c r="I1160" s="12" t="n">
        <v>21</v>
      </c>
      <c r="J1160" s="12" t="s">
        <v>169</v>
      </c>
      <c r="K1160" s="12" t="s">
        <v>41</v>
      </c>
      <c r="L1160" s="12" t="str">
        <f aca="false">IF(OR(H1160="Severe",H1160="Life-Threatening"),"Yes","No")</f>
        <v>No</v>
      </c>
      <c r="M1160" s="12" t="str">
        <f aca="false">IF(B1160&lt;18,"0-17",IF(B1160&lt;40,"18-39",IF(B1160&lt;60,"40-59","60+")))</f>
        <v>60+</v>
      </c>
      <c r="N1160" s="12" t="str">
        <f aca="false">IF(I1160&lt;=1,"0-1 days",IF(I1160&lt;=7,"2-7 days",IF(I1160&lt;=30,"8-30 days","&gt;30 days")))</f>
        <v>8-30 days</v>
      </c>
    </row>
    <row r="1161" customFormat="false" ht="15" hidden="false" customHeight="false" outlineLevel="0" collapsed="false">
      <c r="A1161" s="12" t="s">
        <v>1402</v>
      </c>
      <c r="B1161" s="12" t="n">
        <v>46</v>
      </c>
      <c r="C1161" s="12" t="s">
        <v>43</v>
      </c>
      <c r="D1161" s="12" t="s">
        <v>245</v>
      </c>
      <c r="E1161" s="12" t="s">
        <v>74</v>
      </c>
      <c r="F1161" s="12" t="s">
        <v>214</v>
      </c>
      <c r="G1161" s="12" t="s">
        <v>115</v>
      </c>
      <c r="H1161" s="12" t="s">
        <v>39</v>
      </c>
      <c r="I1161" s="12" t="n">
        <v>12</v>
      </c>
      <c r="J1161" s="12" t="s">
        <v>47</v>
      </c>
      <c r="K1161" s="12" t="s">
        <v>63</v>
      </c>
      <c r="L1161" s="12" t="str">
        <f aca="false">IF(OR(H1161="Severe",H1161="Life-Threatening"),"Yes","No")</f>
        <v>No</v>
      </c>
      <c r="M1161" s="12" t="str">
        <f aca="false">IF(B1161&lt;18,"0-17",IF(B1161&lt;40,"18-39",IF(B1161&lt;60,"40-59","60+")))</f>
        <v>40-59</v>
      </c>
      <c r="N1161" s="12" t="str">
        <f aca="false">IF(I1161&lt;=1,"0-1 days",IF(I1161&lt;=7,"2-7 days",IF(I1161&lt;=30,"8-30 days","&gt;30 days")))</f>
        <v>8-30 days</v>
      </c>
    </row>
    <row r="1162" customFormat="false" ht="15" hidden="false" customHeight="false" outlineLevel="0" collapsed="false">
      <c r="A1162" s="12" t="s">
        <v>1403</v>
      </c>
      <c r="B1162" s="12" t="n">
        <v>55</v>
      </c>
      <c r="C1162" s="12" t="s">
        <v>34</v>
      </c>
      <c r="D1162" s="12" t="s">
        <v>55</v>
      </c>
      <c r="E1162" s="12" t="s">
        <v>272</v>
      </c>
      <c r="F1162" s="12" t="s">
        <v>62</v>
      </c>
      <c r="G1162" s="12" t="s">
        <v>53</v>
      </c>
      <c r="H1162" s="12" t="s">
        <v>39</v>
      </c>
      <c r="I1162" s="12" t="n">
        <v>8</v>
      </c>
      <c r="J1162" s="12" t="s">
        <v>47</v>
      </c>
      <c r="K1162" s="12" t="s">
        <v>63</v>
      </c>
      <c r="L1162" s="12" t="str">
        <f aca="false">IF(OR(H1162="Severe",H1162="Life-Threatening"),"Yes","No")</f>
        <v>No</v>
      </c>
      <c r="M1162" s="12" t="str">
        <f aca="false">IF(B1162&lt;18,"0-17",IF(B1162&lt;40,"18-39",IF(B1162&lt;60,"40-59","60+")))</f>
        <v>40-59</v>
      </c>
      <c r="N1162" s="12" t="str">
        <f aca="false">IF(I1162&lt;=1,"0-1 days",IF(I1162&lt;=7,"2-7 days",IF(I1162&lt;=30,"8-30 days","&gt;30 days")))</f>
        <v>8-30 days</v>
      </c>
    </row>
    <row r="1163" customFormat="false" ht="15" hidden="false" customHeight="false" outlineLevel="0" collapsed="false">
      <c r="A1163" s="12" t="s">
        <v>1404</v>
      </c>
      <c r="B1163" s="12" t="n">
        <v>51</v>
      </c>
      <c r="C1163" s="12" t="s">
        <v>34</v>
      </c>
      <c r="D1163" s="12" t="s">
        <v>35</v>
      </c>
      <c r="E1163" s="12" t="s">
        <v>74</v>
      </c>
      <c r="F1163" s="12" t="s">
        <v>214</v>
      </c>
      <c r="G1163" s="12" t="s">
        <v>115</v>
      </c>
      <c r="H1163" s="12" t="s">
        <v>39</v>
      </c>
      <c r="I1163" s="12" t="n">
        <v>22</v>
      </c>
      <c r="J1163" s="12" t="s">
        <v>47</v>
      </c>
      <c r="K1163" s="12" t="s">
        <v>63</v>
      </c>
      <c r="L1163" s="12" t="str">
        <f aca="false">IF(OR(H1163="Severe",H1163="Life-Threatening"),"Yes","No")</f>
        <v>No</v>
      </c>
      <c r="M1163" s="12" t="str">
        <f aca="false">IF(B1163&lt;18,"0-17",IF(B1163&lt;40,"18-39",IF(B1163&lt;60,"40-59","60+")))</f>
        <v>40-59</v>
      </c>
      <c r="N1163" s="12" t="str">
        <f aca="false">IF(I1163&lt;=1,"0-1 days",IF(I1163&lt;=7,"2-7 days",IF(I1163&lt;=30,"8-30 days","&gt;30 days")))</f>
        <v>8-30 days</v>
      </c>
    </row>
    <row r="1164" customFormat="false" ht="15" hidden="false" customHeight="false" outlineLevel="0" collapsed="false">
      <c r="A1164" s="12" t="s">
        <v>1405</v>
      </c>
      <c r="B1164" s="12" t="n">
        <v>42</v>
      </c>
      <c r="C1164" s="12" t="s">
        <v>43</v>
      </c>
      <c r="D1164" s="12" t="s">
        <v>99</v>
      </c>
      <c r="E1164" s="12" t="s">
        <v>498</v>
      </c>
      <c r="F1164" s="12" t="s">
        <v>322</v>
      </c>
      <c r="G1164" s="12" t="s">
        <v>53</v>
      </c>
      <c r="H1164" s="12" t="s">
        <v>46</v>
      </c>
      <c r="I1164" s="12" t="n">
        <v>17</v>
      </c>
      <c r="J1164" s="12" t="s">
        <v>40</v>
      </c>
      <c r="K1164" s="12" t="s">
        <v>48</v>
      </c>
      <c r="L1164" s="12" t="str">
        <f aca="false">IF(OR(H1164="Severe",H1164="Life-Threatening"),"Yes","No")</f>
        <v>No</v>
      </c>
      <c r="M1164" s="12" t="str">
        <f aca="false">IF(B1164&lt;18,"0-17",IF(B1164&lt;40,"18-39",IF(B1164&lt;60,"40-59","60+")))</f>
        <v>40-59</v>
      </c>
      <c r="N1164" s="12" t="str">
        <f aca="false">IF(I1164&lt;=1,"0-1 days",IF(I1164&lt;=7,"2-7 days",IF(I1164&lt;=30,"8-30 days","&gt;30 days")))</f>
        <v>8-30 days</v>
      </c>
    </row>
    <row r="1165" customFormat="false" ht="15" hidden="false" customHeight="false" outlineLevel="0" collapsed="false">
      <c r="A1165" s="12" t="s">
        <v>1406</v>
      </c>
      <c r="B1165" s="12" t="n">
        <v>49</v>
      </c>
      <c r="C1165" s="12" t="s">
        <v>34</v>
      </c>
      <c r="D1165" s="12" t="s">
        <v>35</v>
      </c>
      <c r="E1165" s="12" t="s">
        <v>412</v>
      </c>
      <c r="F1165" s="12" t="s">
        <v>214</v>
      </c>
      <c r="G1165" s="12" t="s">
        <v>115</v>
      </c>
      <c r="H1165" s="12" t="s">
        <v>59</v>
      </c>
      <c r="I1165" s="12" t="n">
        <v>8</v>
      </c>
      <c r="J1165" s="12" t="s">
        <v>40</v>
      </c>
      <c r="K1165" s="12" t="s">
        <v>48</v>
      </c>
      <c r="L1165" s="12" t="str">
        <f aca="false">IF(OR(H1165="Severe",H1165="Life-Threatening"),"Yes","No")</f>
        <v>Yes</v>
      </c>
      <c r="M1165" s="12" t="str">
        <f aca="false">IF(B1165&lt;18,"0-17",IF(B1165&lt;40,"18-39",IF(B1165&lt;60,"40-59","60+")))</f>
        <v>40-59</v>
      </c>
      <c r="N1165" s="12" t="str">
        <f aca="false">IF(I1165&lt;=1,"0-1 days",IF(I1165&lt;=7,"2-7 days",IF(I1165&lt;=30,"8-30 days","&gt;30 days")))</f>
        <v>8-30 days</v>
      </c>
    </row>
    <row r="1166" customFormat="false" ht="15" hidden="false" customHeight="false" outlineLevel="0" collapsed="false">
      <c r="A1166" s="12" t="s">
        <v>1407</v>
      </c>
      <c r="B1166" s="12" t="n">
        <v>34</v>
      </c>
      <c r="C1166" s="12" t="s">
        <v>43</v>
      </c>
      <c r="D1166" s="12" t="s">
        <v>55</v>
      </c>
      <c r="E1166" s="12" t="s">
        <v>186</v>
      </c>
      <c r="F1166" s="12" t="s">
        <v>131</v>
      </c>
      <c r="G1166" s="12" t="s">
        <v>94</v>
      </c>
      <c r="H1166" s="12" t="s">
        <v>46</v>
      </c>
      <c r="I1166" s="12" t="n">
        <v>28</v>
      </c>
      <c r="J1166" s="12" t="s">
        <v>169</v>
      </c>
      <c r="K1166" s="12" t="s">
        <v>41</v>
      </c>
      <c r="L1166" s="12" t="str">
        <f aca="false">IF(OR(H1166="Severe",H1166="Life-Threatening"),"Yes","No")</f>
        <v>No</v>
      </c>
      <c r="M1166" s="12" t="str">
        <f aca="false">IF(B1166&lt;18,"0-17",IF(B1166&lt;40,"18-39",IF(B1166&lt;60,"40-59","60+")))</f>
        <v>18-39</v>
      </c>
      <c r="N1166" s="12" t="str">
        <f aca="false">IF(I1166&lt;=1,"0-1 days",IF(I1166&lt;=7,"2-7 days",IF(I1166&lt;=30,"8-30 days","&gt;30 days")))</f>
        <v>8-30 days</v>
      </c>
    </row>
    <row r="1167" customFormat="false" ht="15" hidden="false" customHeight="false" outlineLevel="0" collapsed="false">
      <c r="A1167" s="12" t="s">
        <v>1408</v>
      </c>
      <c r="B1167" s="12" t="n">
        <v>58</v>
      </c>
      <c r="C1167" s="12" t="s">
        <v>34</v>
      </c>
      <c r="D1167" s="12" t="s">
        <v>35</v>
      </c>
      <c r="E1167" s="12" t="s">
        <v>127</v>
      </c>
      <c r="F1167" s="12" t="s">
        <v>128</v>
      </c>
      <c r="G1167" s="12" t="s">
        <v>53</v>
      </c>
      <c r="H1167" s="12" t="s">
        <v>59</v>
      </c>
      <c r="I1167" s="12" t="n">
        <v>21</v>
      </c>
      <c r="J1167" s="12" t="s">
        <v>47</v>
      </c>
      <c r="K1167" s="12" t="s">
        <v>48</v>
      </c>
      <c r="L1167" s="12" t="str">
        <f aca="false">IF(OR(H1167="Severe",H1167="Life-Threatening"),"Yes","No")</f>
        <v>Yes</v>
      </c>
      <c r="M1167" s="12" t="str">
        <f aca="false">IF(B1167&lt;18,"0-17",IF(B1167&lt;40,"18-39",IF(B1167&lt;60,"40-59","60+")))</f>
        <v>40-59</v>
      </c>
      <c r="N1167" s="12" t="str">
        <f aca="false">IF(I1167&lt;=1,"0-1 days",IF(I1167&lt;=7,"2-7 days",IF(I1167&lt;=30,"8-30 days","&gt;30 days")))</f>
        <v>8-30 days</v>
      </c>
    </row>
    <row r="1168" customFormat="false" ht="15" hidden="false" customHeight="false" outlineLevel="0" collapsed="false">
      <c r="A1168" s="12" t="s">
        <v>1409</v>
      </c>
      <c r="B1168" s="12" t="n">
        <v>41</v>
      </c>
      <c r="C1168" s="12" t="s">
        <v>43</v>
      </c>
      <c r="D1168" s="12" t="s">
        <v>50</v>
      </c>
      <c r="E1168" s="12" t="s">
        <v>376</v>
      </c>
      <c r="F1168" s="12" t="s">
        <v>377</v>
      </c>
      <c r="G1168" s="12" t="s">
        <v>53</v>
      </c>
      <c r="H1168" s="12" t="s">
        <v>59</v>
      </c>
      <c r="I1168" s="12" t="n">
        <v>21</v>
      </c>
      <c r="J1168" s="12" t="s">
        <v>40</v>
      </c>
      <c r="K1168" s="12" t="s">
        <v>48</v>
      </c>
      <c r="L1168" s="12" t="str">
        <f aca="false">IF(OR(H1168="Severe",H1168="Life-Threatening"),"Yes","No")</f>
        <v>Yes</v>
      </c>
      <c r="M1168" s="12" t="str">
        <f aca="false">IF(B1168&lt;18,"0-17",IF(B1168&lt;40,"18-39",IF(B1168&lt;60,"40-59","60+")))</f>
        <v>40-59</v>
      </c>
      <c r="N1168" s="12" t="str">
        <f aca="false">IF(I1168&lt;=1,"0-1 days",IF(I1168&lt;=7,"2-7 days",IF(I1168&lt;=30,"8-30 days","&gt;30 days")))</f>
        <v>8-30 days</v>
      </c>
    </row>
    <row r="1169" customFormat="false" ht="15" hidden="false" customHeight="false" outlineLevel="0" collapsed="false">
      <c r="A1169" s="12" t="s">
        <v>1410</v>
      </c>
      <c r="B1169" s="12" t="n">
        <v>43</v>
      </c>
      <c r="C1169" s="12" t="s">
        <v>34</v>
      </c>
      <c r="D1169" s="12" t="s">
        <v>35</v>
      </c>
      <c r="E1169" s="12" t="s">
        <v>121</v>
      </c>
      <c r="F1169" s="12" t="s">
        <v>565</v>
      </c>
      <c r="G1169" s="12" t="s">
        <v>115</v>
      </c>
      <c r="H1169" s="12" t="s">
        <v>39</v>
      </c>
      <c r="I1169" s="12" t="n">
        <v>7</v>
      </c>
      <c r="J1169" s="12" t="s">
        <v>67</v>
      </c>
      <c r="K1169" s="12" t="s">
        <v>63</v>
      </c>
      <c r="L1169" s="12" t="str">
        <f aca="false">IF(OR(H1169="Severe",H1169="Life-Threatening"),"Yes","No")</f>
        <v>No</v>
      </c>
      <c r="M1169" s="12" t="str">
        <f aca="false">IF(B1169&lt;18,"0-17",IF(B1169&lt;40,"18-39",IF(B1169&lt;60,"40-59","60+")))</f>
        <v>40-59</v>
      </c>
      <c r="N1169" s="12" t="str">
        <f aca="false">IF(I1169&lt;=1,"0-1 days",IF(I1169&lt;=7,"2-7 days",IF(I1169&lt;=30,"8-30 days","&gt;30 days")))</f>
        <v>2-7 days</v>
      </c>
    </row>
    <row r="1170" customFormat="false" ht="15" hidden="false" customHeight="false" outlineLevel="0" collapsed="false">
      <c r="A1170" s="12" t="s">
        <v>1411</v>
      </c>
      <c r="B1170" s="12" t="n">
        <v>12</v>
      </c>
      <c r="C1170" s="12" t="s">
        <v>34</v>
      </c>
      <c r="D1170" s="12" t="s">
        <v>35</v>
      </c>
      <c r="E1170" s="12" t="s">
        <v>352</v>
      </c>
      <c r="F1170" s="12" t="s">
        <v>171</v>
      </c>
      <c r="G1170" s="12" t="s">
        <v>53</v>
      </c>
      <c r="H1170" s="12" t="s">
        <v>76</v>
      </c>
      <c r="I1170" s="12" t="n">
        <v>16</v>
      </c>
      <c r="J1170" s="12" t="s">
        <v>169</v>
      </c>
      <c r="K1170" s="12" t="s">
        <v>63</v>
      </c>
      <c r="L1170" s="12" t="str">
        <f aca="false">IF(OR(H1170="Severe",H1170="Life-Threatening"),"Yes","No")</f>
        <v>Yes</v>
      </c>
      <c r="M1170" s="12" t="str">
        <f aca="false">IF(B1170&lt;18,"0-17",IF(B1170&lt;40,"18-39",IF(B1170&lt;60,"40-59","60+")))</f>
        <v>0-17</v>
      </c>
      <c r="N1170" s="12" t="str">
        <f aca="false">IF(I1170&lt;=1,"0-1 days",IF(I1170&lt;=7,"2-7 days",IF(I1170&lt;=30,"8-30 days","&gt;30 days")))</f>
        <v>8-30 days</v>
      </c>
    </row>
    <row r="1171" customFormat="false" ht="15" hidden="false" customHeight="false" outlineLevel="0" collapsed="false">
      <c r="A1171" s="12" t="s">
        <v>1412</v>
      </c>
      <c r="B1171" s="12" t="n">
        <v>53</v>
      </c>
      <c r="C1171" s="12" t="s">
        <v>43</v>
      </c>
      <c r="D1171" s="12" t="s">
        <v>102</v>
      </c>
      <c r="E1171" s="12" t="s">
        <v>188</v>
      </c>
      <c r="F1171" s="12" t="s">
        <v>79</v>
      </c>
      <c r="G1171" s="12" t="s">
        <v>80</v>
      </c>
      <c r="H1171" s="12" t="s">
        <v>39</v>
      </c>
      <c r="I1171" s="12" t="n">
        <v>13</v>
      </c>
      <c r="J1171" s="12" t="s">
        <v>169</v>
      </c>
      <c r="K1171" s="12" t="s">
        <v>63</v>
      </c>
      <c r="L1171" s="12" t="str">
        <f aca="false">IF(OR(H1171="Severe",H1171="Life-Threatening"),"Yes","No")</f>
        <v>No</v>
      </c>
      <c r="M1171" s="12" t="str">
        <f aca="false">IF(B1171&lt;18,"0-17",IF(B1171&lt;40,"18-39",IF(B1171&lt;60,"40-59","60+")))</f>
        <v>40-59</v>
      </c>
      <c r="N1171" s="12" t="str">
        <f aca="false">IF(I1171&lt;=1,"0-1 days",IF(I1171&lt;=7,"2-7 days",IF(I1171&lt;=30,"8-30 days","&gt;30 days")))</f>
        <v>8-30 days</v>
      </c>
    </row>
    <row r="1172" customFormat="false" ht="15" hidden="false" customHeight="false" outlineLevel="0" collapsed="false">
      <c r="A1172" s="12" t="s">
        <v>1413</v>
      </c>
      <c r="B1172" s="12" t="n">
        <v>49</v>
      </c>
      <c r="C1172" s="12" t="s">
        <v>34</v>
      </c>
      <c r="D1172" s="12" t="s">
        <v>35</v>
      </c>
      <c r="E1172" s="12" t="s">
        <v>821</v>
      </c>
      <c r="F1172" s="12" t="s">
        <v>274</v>
      </c>
      <c r="G1172" s="12" t="s">
        <v>146</v>
      </c>
      <c r="H1172" s="12" t="s">
        <v>39</v>
      </c>
      <c r="I1172" s="12" t="n">
        <v>21</v>
      </c>
      <c r="J1172" s="12" t="s">
        <v>47</v>
      </c>
      <c r="K1172" s="12" t="s">
        <v>63</v>
      </c>
      <c r="L1172" s="12" t="str">
        <f aca="false">IF(OR(H1172="Severe",H1172="Life-Threatening"),"Yes","No")</f>
        <v>No</v>
      </c>
      <c r="M1172" s="12" t="str">
        <f aca="false">IF(B1172&lt;18,"0-17",IF(B1172&lt;40,"18-39",IF(B1172&lt;60,"40-59","60+")))</f>
        <v>40-59</v>
      </c>
      <c r="N1172" s="12" t="str">
        <f aca="false">IF(I1172&lt;=1,"0-1 days",IF(I1172&lt;=7,"2-7 days",IF(I1172&lt;=30,"8-30 days","&gt;30 days")))</f>
        <v>8-30 days</v>
      </c>
    </row>
    <row r="1173" customFormat="false" ht="15" hidden="false" customHeight="false" outlineLevel="0" collapsed="false">
      <c r="A1173" s="12" t="s">
        <v>1414</v>
      </c>
      <c r="B1173" s="12" t="n">
        <v>62</v>
      </c>
      <c r="C1173" s="12" t="s">
        <v>34</v>
      </c>
      <c r="D1173" s="12" t="s">
        <v>88</v>
      </c>
      <c r="E1173" s="12" t="s">
        <v>156</v>
      </c>
      <c r="F1173" s="12" t="s">
        <v>93</v>
      </c>
      <c r="G1173" s="12" t="s">
        <v>94</v>
      </c>
      <c r="H1173" s="12" t="s">
        <v>46</v>
      </c>
      <c r="I1173" s="12" t="n">
        <v>8</v>
      </c>
      <c r="J1173" s="12" t="s">
        <v>40</v>
      </c>
      <c r="K1173" s="12" t="s">
        <v>41</v>
      </c>
      <c r="L1173" s="12" t="str">
        <f aca="false">IF(OR(H1173="Severe",H1173="Life-Threatening"),"Yes","No")</f>
        <v>No</v>
      </c>
      <c r="M1173" s="12" t="str">
        <f aca="false">IF(B1173&lt;18,"0-17",IF(B1173&lt;40,"18-39",IF(B1173&lt;60,"40-59","60+")))</f>
        <v>60+</v>
      </c>
      <c r="N1173" s="12" t="str">
        <f aca="false">IF(I1173&lt;=1,"0-1 days",IF(I1173&lt;=7,"2-7 days",IF(I1173&lt;=30,"8-30 days","&gt;30 days")))</f>
        <v>8-30 days</v>
      </c>
    </row>
    <row r="1174" customFormat="false" ht="15" hidden="false" customHeight="false" outlineLevel="0" collapsed="false">
      <c r="A1174" s="12" t="s">
        <v>1415</v>
      </c>
      <c r="B1174" s="12" t="n">
        <v>58</v>
      </c>
      <c r="C1174" s="12" t="s">
        <v>43</v>
      </c>
      <c r="D1174" s="12" t="s">
        <v>69</v>
      </c>
      <c r="E1174" s="12" t="s">
        <v>127</v>
      </c>
      <c r="F1174" s="12" t="s">
        <v>128</v>
      </c>
      <c r="G1174" s="12" t="s">
        <v>53</v>
      </c>
      <c r="H1174" s="12" t="s">
        <v>46</v>
      </c>
      <c r="I1174" s="12" t="n">
        <v>6</v>
      </c>
      <c r="J1174" s="12" t="s">
        <v>169</v>
      </c>
      <c r="K1174" s="12" t="s">
        <v>48</v>
      </c>
      <c r="L1174" s="12" t="str">
        <f aca="false">IF(OR(H1174="Severe",H1174="Life-Threatening"),"Yes","No")</f>
        <v>No</v>
      </c>
      <c r="M1174" s="12" t="str">
        <f aca="false">IF(B1174&lt;18,"0-17",IF(B1174&lt;40,"18-39",IF(B1174&lt;60,"40-59","60+")))</f>
        <v>40-59</v>
      </c>
      <c r="N1174" s="12" t="str">
        <f aca="false">IF(I1174&lt;=1,"0-1 days",IF(I1174&lt;=7,"2-7 days",IF(I1174&lt;=30,"8-30 days","&gt;30 days")))</f>
        <v>2-7 days</v>
      </c>
    </row>
    <row r="1175" customFormat="false" ht="15" hidden="false" customHeight="false" outlineLevel="0" collapsed="false">
      <c r="A1175" s="12" t="s">
        <v>1416</v>
      </c>
      <c r="B1175" s="12" t="n">
        <v>54</v>
      </c>
      <c r="C1175" s="12" t="s">
        <v>43</v>
      </c>
      <c r="D1175" s="12" t="s">
        <v>190</v>
      </c>
      <c r="E1175" s="12" t="s">
        <v>74</v>
      </c>
      <c r="F1175" s="12" t="s">
        <v>75</v>
      </c>
      <c r="G1175" s="12" t="s">
        <v>58</v>
      </c>
      <c r="H1175" s="12" t="s">
        <v>59</v>
      </c>
      <c r="I1175" s="12" t="n">
        <v>1</v>
      </c>
      <c r="J1175" s="12" t="s">
        <v>40</v>
      </c>
      <c r="K1175" s="12" t="s">
        <v>41</v>
      </c>
      <c r="L1175" s="12" t="str">
        <f aca="false">IF(OR(H1175="Severe",H1175="Life-Threatening"),"Yes","No")</f>
        <v>Yes</v>
      </c>
      <c r="M1175" s="12" t="str">
        <f aca="false">IF(B1175&lt;18,"0-17",IF(B1175&lt;40,"18-39",IF(B1175&lt;60,"40-59","60+")))</f>
        <v>40-59</v>
      </c>
      <c r="N1175" s="12" t="str">
        <f aca="false">IF(I1175&lt;=1,"0-1 days",IF(I1175&lt;=7,"2-7 days",IF(I1175&lt;=30,"8-30 days","&gt;30 days")))</f>
        <v>0-1 days</v>
      </c>
    </row>
    <row r="1176" customFormat="false" ht="15" hidden="false" customHeight="false" outlineLevel="0" collapsed="false">
      <c r="A1176" s="12" t="s">
        <v>1417</v>
      </c>
      <c r="B1176" s="12" t="n">
        <v>8</v>
      </c>
      <c r="C1176" s="12" t="s">
        <v>43</v>
      </c>
      <c r="D1176" s="12" t="s">
        <v>112</v>
      </c>
      <c r="E1176" s="12" t="s">
        <v>74</v>
      </c>
      <c r="F1176" s="12" t="s">
        <v>139</v>
      </c>
      <c r="G1176" s="12" t="s">
        <v>38</v>
      </c>
      <c r="H1176" s="12" t="s">
        <v>46</v>
      </c>
      <c r="I1176" s="12" t="n">
        <v>17</v>
      </c>
      <c r="J1176" s="12" t="s">
        <v>40</v>
      </c>
      <c r="K1176" s="12" t="s">
        <v>48</v>
      </c>
      <c r="L1176" s="12" t="str">
        <f aca="false">IF(OR(H1176="Severe",H1176="Life-Threatening"),"Yes","No")</f>
        <v>No</v>
      </c>
      <c r="M1176" s="12" t="str">
        <f aca="false">IF(B1176&lt;18,"0-17",IF(B1176&lt;40,"18-39",IF(B1176&lt;60,"40-59","60+")))</f>
        <v>0-17</v>
      </c>
      <c r="N1176" s="12" t="str">
        <f aca="false">IF(I1176&lt;=1,"0-1 days",IF(I1176&lt;=7,"2-7 days",IF(I1176&lt;=30,"8-30 days","&gt;30 days")))</f>
        <v>8-30 days</v>
      </c>
    </row>
    <row r="1177" customFormat="false" ht="15" hidden="false" customHeight="false" outlineLevel="0" collapsed="false">
      <c r="A1177" s="12" t="s">
        <v>1418</v>
      </c>
      <c r="B1177" s="12" t="n">
        <v>56</v>
      </c>
      <c r="C1177" s="12" t="s">
        <v>43</v>
      </c>
      <c r="D1177" s="12" t="s">
        <v>55</v>
      </c>
      <c r="E1177" s="12" t="s">
        <v>386</v>
      </c>
      <c r="F1177" s="12" t="s">
        <v>114</v>
      </c>
      <c r="G1177" s="12" t="s">
        <v>115</v>
      </c>
      <c r="H1177" s="12" t="s">
        <v>39</v>
      </c>
      <c r="I1177" s="12" t="n">
        <v>33</v>
      </c>
      <c r="J1177" s="12" t="s">
        <v>40</v>
      </c>
      <c r="K1177" s="12" t="s">
        <v>63</v>
      </c>
      <c r="L1177" s="12" t="str">
        <f aca="false">IF(OR(H1177="Severe",H1177="Life-Threatening"),"Yes","No")</f>
        <v>No</v>
      </c>
      <c r="M1177" s="12" t="str">
        <f aca="false">IF(B1177&lt;18,"0-17",IF(B1177&lt;40,"18-39",IF(B1177&lt;60,"40-59","60+")))</f>
        <v>40-59</v>
      </c>
      <c r="N1177" s="12" t="str">
        <f aca="false">IF(I1177&lt;=1,"0-1 days",IF(I1177&lt;=7,"2-7 days",IF(I1177&lt;=30,"8-30 days","&gt;30 days")))</f>
        <v>&gt;30 days</v>
      </c>
    </row>
    <row r="1178" customFormat="false" ht="15" hidden="false" customHeight="false" outlineLevel="0" collapsed="false">
      <c r="A1178" s="12" t="s">
        <v>1419</v>
      </c>
      <c r="B1178" s="12" t="n">
        <v>25</v>
      </c>
      <c r="C1178" s="12" t="s">
        <v>34</v>
      </c>
      <c r="D1178" s="12" t="s">
        <v>474</v>
      </c>
      <c r="E1178" s="12" t="s">
        <v>216</v>
      </c>
      <c r="F1178" s="12" t="s">
        <v>176</v>
      </c>
      <c r="G1178" s="12" t="s">
        <v>177</v>
      </c>
      <c r="H1178" s="12" t="s">
        <v>76</v>
      </c>
      <c r="I1178" s="12" t="n">
        <v>28</v>
      </c>
      <c r="J1178" s="12" t="s">
        <v>40</v>
      </c>
      <c r="K1178" s="12" t="s">
        <v>41</v>
      </c>
      <c r="L1178" s="12" t="str">
        <f aca="false">IF(OR(H1178="Severe",H1178="Life-Threatening"),"Yes","No")</f>
        <v>Yes</v>
      </c>
      <c r="M1178" s="12" t="str">
        <f aca="false">IF(B1178&lt;18,"0-17",IF(B1178&lt;40,"18-39",IF(B1178&lt;60,"40-59","60+")))</f>
        <v>18-39</v>
      </c>
      <c r="N1178" s="12" t="str">
        <f aca="false">IF(I1178&lt;=1,"0-1 days",IF(I1178&lt;=7,"2-7 days",IF(I1178&lt;=30,"8-30 days","&gt;30 days")))</f>
        <v>8-30 days</v>
      </c>
    </row>
    <row r="1179" customFormat="false" ht="15" hidden="false" customHeight="false" outlineLevel="0" collapsed="false">
      <c r="A1179" s="12" t="s">
        <v>1420</v>
      </c>
      <c r="B1179" s="12" t="n">
        <v>22</v>
      </c>
      <c r="C1179" s="12" t="s">
        <v>34</v>
      </c>
      <c r="D1179" s="12" t="s">
        <v>99</v>
      </c>
      <c r="E1179" s="12" t="s">
        <v>243</v>
      </c>
      <c r="F1179" s="12" t="s">
        <v>139</v>
      </c>
      <c r="G1179" s="12" t="s">
        <v>38</v>
      </c>
      <c r="H1179" s="12" t="s">
        <v>39</v>
      </c>
      <c r="I1179" s="12" t="n">
        <v>24</v>
      </c>
      <c r="J1179" s="12" t="s">
        <v>169</v>
      </c>
      <c r="K1179" s="12" t="s">
        <v>48</v>
      </c>
      <c r="L1179" s="12" t="str">
        <f aca="false">IF(OR(H1179="Severe",H1179="Life-Threatening"),"Yes","No")</f>
        <v>No</v>
      </c>
      <c r="M1179" s="12" t="str">
        <f aca="false">IF(B1179&lt;18,"0-17",IF(B1179&lt;40,"18-39",IF(B1179&lt;60,"40-59","60+")))</f>
        <v>18-39</v>
      </c>
      <c r="N1179" s="12" t="str">
        <f aca="false">IF(I1179&lt;=1,"0-1 days",IF(I1179&lt;=7,"2-7 days",IF(I1179&lt;=30,"8-30 days","&gt;30 days")))</f>
        <v>8-30 days</v>
      </c>
    </row>
    <row r="1180" customFormat="false" ht="15" hidden="false" customHeight="false" outlineLevel="0" collapsed="false">
      <c r="A1180" s="12" t="s">
        <v>1421</v>
      </c>
      <c r="B1180" s="12" t="n">
        <v>15</v>
      </c>
      <c r="C1180" s="12" t="s">
        <v>43</v>
      </c>
      <c r="D1180" s="12" t="s">
        <v>82</v>
      </c>
      <c r="E1180" s="12" t="s">
        <v>113</v>
      </c>
      <c r="F1180" s="12" t="s">
        <v>62</v>
      </c>
      <c r="G1180" s="12" t="s">
        <v>53</v>
      </c>
      <c r="H1180" s="12" t="s">
        <v>46</v>
      </c>
      <c r="I1180" s="12" t="n">
        <v>4</v>
      </c>
      <c r="J1180" s="12" t="s">
        <v>40</v>
      </c>
      <c r="K1180" s="12" t="s">
        <v>48</v>
      </c>
      <c r="L1180" s="12" t="str">
        <f aca="false">IF(OR(H1180="Severe",H1180="Life-Threatening"),"Yes","No")</f>
        <v>No</v>
      </c>
      <c r="M1180" s="12" t="str">
        <f aca="false">IF(B1180&lt;18,"0-17",IF(B1180&lt;40,"18-39",IF(B1180&lt;60,"40-59","60+")))</f>
        <v>0-17</v>
      </c>
      <c r="N1180" s="12" t="str">
        <f aca="false">IF(I1180&lt;=1,"0-1 days",IF(I1180&lt;=7,"2-7 days",IF(I1180&lt;=30,"8-30 days","&gt;30 days")))</f>
        <v>2-7 days</v>
      </c>
    </row>
    <row r="1181" customFormat="false" ht="15" hidden="false" customHeight="false" outlineLevel="0" collapsed="false">
      <c r="A1181" s="12" t="s">
        <v>1422</v>
      </c>
      <c r="B1181" s="12" t="n">
        <v>43</v>
      </c>
      <c r="C1181" s="12" t="s">
        <v>43</v>
      </c>
      <c r="D1181" s="12" t="s">
        <v>196</v>
      </c>
      <c r="E1181" s="12" t="s">
        <v>369</v>
      </c>
      <c r="F1181" s="12" t="s">
        <v>743</v>
      </c>
      <c r="G1181" s="12" t="s">
        <v>53</v>
      </c>
      <c r="H1181" s="12" t="s">
        <v>39</v>
      </c>
      <c r="I1181" s="12" t="n">
        <v>3</v>
      </c>
      <c r="J1181" s="12" t="s">
        <v>47</v>
      </c>
      <c r="K1181" s="12" t="s">
        <v>41</v>
      </c>
      <c r="L1181" s="12" t="str">
        <f aca="false">IF(OR(H1181="Severe",H1181="Life-Threatening"),"Yes","No")</f>
        <v>No</v>
      </c>
      <c r="M1181" s="12" t="str">
        <f aca="false">IF(B1181&lt;18,"0-17",IF(B1181&lt;40,"18-39",IF(B1181&lt;60,"40-59","60+")))</f>
        <v>40-59</v>
      </c>
      <c r="N1181" s="12" t="str">
        <f aca="false">IF(I1181&lt;=1,"0-1 days",IF(I1181&lt;=7,"2-7 days",IF(I1181&lt;=30,"8-30 days","&gt;30 days")))</f>
        <v>2-7 days</v>
      </c>
    </row>
    <row r="1182" customFormat="false" ht="15" hidden="false" customHeight="false" outlineLevel="0" collapsed="false">
      <c r="A1182" s="12" t="s">
        <v>1423</v>
      </c>
      <c r="B1182" s="12" t="n">
        <v>73</v>
      </c>
      <c r="C1182" s="12" t="s">
        <v>43</v>
      </c>
      <c r="D1182" s="12" t="s">
        <v>231</v>
      </c>
      <c r="E1182" s="12" t="s">
        <v>280</v>
      </c>
      <c r="F1182" s="12" t="s">
        <v>45</v>
      </c>
      <c r="G1182" s="12" t="s">
        <v>38</v>
      </c>
      <c r="H1182" s="12" t="s">
        <v>39</v>
      </c>
      <c r="I1182" s="12" t="n">
        <v>25</v>
      </c>
      <c r="J1182" s="12" t="s">
        <v>40</v>
      </c>
      <c r="K1182" s="12" t="s">
        <v>63</v>
      </c>
      <c r="L1182" s="12" t="str">
        <f aca="false">IF(OR(H1182="Severe",H1182="Life-Threatening"),"Yes","No")</f>
        <v>No</v>
      </c>
      <c r="M1182" s="12" t="str">
        <f aca="false">IF(B1182&lt;18,"0-17",IF(B1182&lt;40,"18-39",IF(B1182&lt;60,"40-59","60+")))</f>
        <v>60+</v>
      </c>
      <c r="N1182" s="12" t="str">
        <f aca="false">IF(I1182&lt;=1,"0-1 days",IF(I1182&lt;=7,"2-7 days",IF(I1182&lt;=30,"8-30 days","&gt;30 days")))</f>
        <v>8-30 days</v>
      </c>
    </row>
    <row r="1183" customFormat="false" ht="15" hidden="false" customHeight="false" outlineLevel="0" collapsed="false">
      <c r="A1183" s="12" t="s">
        <v>1424</v>
      </c>
      <c r="B1183" s="12" t="n">
        <v>61</v>
      </c>
      <c r="C1183" s="12" t="s">
        <v>43</v>
      </c>
      <c r="D1183" s="12" t="s">
        <v>196</v>
      </c>
      <c r="E1183" s="12" t="s">
        <v>301</v>
      </c>
      <c r="F1183" s="12" t="s">
        <v>302</v>
      </c>
      <c r="G1183" s="12" t="s">
        <v>53</v>
      </c>
      <c r="H1183" s="12" t="s">
        <v>76</v>
      </c>
      <c r="I1183" s="12" t="n">
        <v>20</v>
      </c>
      <c r="J1183" s="12" t="s">
        <v>40</v>
      </c>
      <c r="K1183" s="12" t="s">
        <v>63</v>
      </c>
      <c r="L1183" s="12" t="str">
        <f aca="false">IF(OR(H1183="Severe",H1183="Life-Threatening"),"Yes","No")</f>
        <v>Yes</v>
      </c>
      <c r="M1183" s="12" t="str">
        <f aca="false">IF(B1183&lt;18,"0-17",IF(B1183&lt;40,"18-39",IF(B1183&lt;60,"40-59","60+")))</f>
        <v>60+</v>
      </c>
      <c r="N1183" s="12" t="str">
        <f aca="false">IF(I1183&lt;=1,"0-1 days",IF(I1183&lt;=7,"2-7 days",IF(I1183&lt;=30,"8-30 days","&gt;30 days")))</f>
        <v>8-30 days</v>
      </c>
    </row>
    <row r="1184" customFormat="false" ht="15" hidden="false" customHeight="false" outlineLevel="0" collapsed="false">
      <c r="A1184" s="12" t="s">
        <v>1425</v>
      </c>
      <c r="B1184" s="12" t="n">
        <v>50</v>
      </c>
      <c r="C1184" s="12" t="s">
        <v>43</v>
      </c>
      <c r="D1184" s="12" t="s">
        <v>35</v>
      </c>
      <c r="E1184" s="12" t="s">
        <v>156</v>
      </c>
      <c r="F1184" s="12" t="s">
        <v>93</v>
      </c>
      <c r="G1184" s="12" t="s">
        <v>94</v>
      </c>
      <c r="H1184" s="12" t="s">
        <v>39</v>
      </c>
      <c r="I1184" s="12" t="n">
        <v>32</v>
      </c>
      <c r="J1184" s="12" t="s">
        <v>47</v>
      </c>
      <c r="K1184" s="12" t="s">
        <v>48</v>
      </c>
      <c r="L1184" s="12" t="str">
        <f aca="false">IF(OR(H1184="Severe",H1184="Life-Threatening"),"Yes","No")</f>
        <v>No</v>
      </c>
      <c r="M1184" s="12" t="str">
        <f aca="false">IF(B1184&lt;18,"0-17",IF(B1184&lt;40,"18-39",IF(B1184&lt;60,"40-59","60+")))</f>
        <v>40-59</v>
      </c>
      <c r="N1184" s="12" t="str">
        <f aca="false">IF(I1184&lt;=1,"0-1 days",IF(I1184&lt;=7,"2-7 days",IF(I1184&lt;=30,"8-30 days","&gt;30 days")))</f>
        <v>&gt;30 days</v>
      </c>
    </row>
    <row r="1185" customFormat="false" ht="15" hidden="false" customHeight="false" outlineLevel="0" collapsed="false">
      <c r="A1185" s="12" t="s">
        <v>1426</v>
      </c>
      <c r="B1185" s="12" t="n">
        <v>52</v>
      </c>
      <c r="C1185" s="12" t="s">
        <v>43</v>
      </c>
      <c r="D1185" s="12" t="s">
        <v>202</v>
      </c>
      <c r="E1185" s="12" t="s">
        <v>110</v>
      </c>
      <c r="F1185" s="12" t="s">
        <v>322</v>
      </c>
      <c r="G1185" s="12" t="s">
        <v>53</v>
      </c>
      <c r="H1185" s="12" t="s">
        <v>76</v>
      </c>
      <c r="I1185" s="12" t="n">
        <v>26</v>
      </c>
      <c r="J1185" s="12" t="s">
        <v>169</v>
      </c>
      <c r="K1185" s="12" t="s">
        <v>48</v>
      </c>
      <c r="L1185" s="12" t="str">
        <f aca="false">IF(OR(H1185="Severe",H1185="Life-Threatening"),"Yes","No")</f>
        <v>Yes</v>
      </c>
      <c r="M1185" s="12" t="str">
        <f aca="false">IF(B1185&lt;18,"0-17",IF(B1185&lt;40,"18-39",IF(B1185&lt;60,"40-59","60+")))</f>
        <v>40-59</v>
      </c>
      <c r="N1185" s="12" t="str">
        <f aca="false">IF(I1185&lt;=1,"0-1 days",IF(I1185&lt;=7,"2-7 days",IF(I1185&lt;=30,"8-30 days","&gt;30 days")))</f>
        <v>8-30 days</v>
      </c>
    </row>
    <row r="1186" customFormat="false" ht="15" hidden="false" customHeight="false" outlineLevel="0" collapsed="false">
      <c r="A1186" s="12" t="s">
        <v>1427</v>
      </c>
      <c r="B1186" s="12" t="n">
        <v>54</v>
      </c>
      <c r="C1186" s="12" t="s">
        <v>34</v>
      </c>
      <c r="D1186" s="12" t="s">
        <v>35</v>
      </c>
      <c r="E1186" s="12" t="s">
        <v>188</v>
      </c>
      <c r="F1186" s="12" t="s">
        <v>403</v>
      </c>
      <c r="G1186" s="12" t="s">
        <v>80</v>
      </c>
      <c r="H1186" s="12" t="s">
        <v>39</v>
      </c>
      <c r="I1186" s="12" t="n">
        <v>7</v>
      </c>
      <c r="J1186" s="12" t="s">
        <v>40</v>
      </c>
      <c r="K1186" s="12" t="s">
        <v>48</v>
      </c>
      <c r="L1186" s="12" t="str">
        <f aca="false">IF(OR(H1186="Severe",H1186="Life-Threatening"),"Yes","No")</f>
        <v>No</v>
      </c>
      <c r="M1186" s="12" t="str">
        <f aca="false">IF(B1186&lt;18,"0-17",IF(B1186&lt;40,"18-39",IF(B1186&lt;60,"40-59","60+")))</f>
        <v>40-59</v>
      </c>
      <c r="N1186" s="12" t="str">
        <f aca="false">IF(I1186&lt;=1,"0-1 days",IF(I1186&lt;=7,"2-7 days",IF(I1186&lt;=30,"8-30 days","&gt;30 days")))</f>
        <v>2-7 days</v>
      </c>
    </row>
    <row r="1187" customFormat="false" ht="15" hidden="false" customHeight="false" outlineLevel="0" collapsed="false">
      <c r="A1187" s="12" t="s">
        <v>1428</v>
      </c>
      <c r="B1187" s="12" t="n">
        <v>25</v>
      </c>
      <c r="C1187" s="12" t="s">
        <v>43</v>
      </c>
      <c r="D1187" s="12" t="s">
        <v>69</v>
      </c>
      <c r="E1187" s="12" t="s">
        <v>74</v>
      </c>
      <c r="F1187" s="12" t="s">
        <v>214</v>
      </c>
      <c r="G1187" s="12" t="s">
        <v>115</v>
      </c>
      <c r="H1187" s="12" t="s">
        <v>39</v>
      </c>
      <c r="I1187" s="12" t="n">
        <v>18</v>
      </c>
      <c r="J1187" s="12" t="s">
        <v>40</v>
      </c>
      <c r="K1187" s="12" t="s">
        <v>147</v>
      </c>
      <c r="L1187" s="12" t="str">
        <f aca="false">IF(OR(H1187="Severe",H1187="Life-Threatening"),"Yes","No")</f>
        <v>No</v>
      </c>
      <c r="M1187" s="12" t="str">
        <f aca="false">IF(B1187&lt;18,"0-17",IF(B1187&lt;40,"18-39",IF(B1187&lt;60,"40-59","60+")))</f>
        <v>18-39</v>
      </c>
      <c r="N1187" s="12" t="str">
        <f aca="false">IF(I1187&lt;=1,"0-1 days",IF(I1187&lt;=7,"2-7 days",IF(I1187&lt;=30,"8-30 days","&gt;30 days")))</f>
        <v>8-30 days</v>
      </c>
    </row>
    <row r="1188" customFormat="false" ht="15" hidden="false" customHeight="false" outlineLevel="0" collapsed="false">
      <c r="A1188" s="12" t="s">
        <v>1429</v>
      </c>
      <c r="B1188" s="12" t="n">
        <v>57</v>
      </c>
      <c r="C1188" s="12" t="s">
        <v>43</v>
      </c>
      <c r="D1188" s="12" t="s">
        <v>35</v>
      </c>
      <c r="E1188" s="12" t="s">
        <v>304</v>
      </c>
      <c r="F1188" s="12" t="s">
        <v>165</v>
      </c>
      <c r="G1188" s="12" t="s">
        <v>53</v>
      </c>
      <c r="H1188" s="12" t="s">
        <v>39</v>
      </c>
      <c r="I1188" s="12" t="n">
        <v>10</v>
      </c>
      <c r="J1188" s="12" t="s">
        <v>40</v>
      </c>
      <c r="K1188" s="12" t="s">
        <v>63</v>
      </c>
      <c r="L1188" s="12" t="str">
        <f aca="false">IF(OR(H1188="Severe",H1188="Life-Threatening"),"Yes","No")</f>
        <v>No</v>
      </c>
      <c r="M1188" s="12" t="str">
        <f aca="false">IF(B1188&lt;18,"0-17",IF(B1188&lt;40,"18-39",IF(B1188&lt;60,"40-59","60+")))</f>
        <v>40-59</v>
      </c>
      <c r="N1188" s="12" t="str">
        <f aca="false">IF(I1188&lt;=1,"0-1 days",IF(I1188&lt;=7,"2-7 days",IF(I1188&lt;=30,"8-30 days","&gt;30 days")))</f>
        <v>8-30 days</v>
      </c>
    </row>
    <row r="1189" customFormat="false" ht="15" hidden="false" customHeight="false" outlineLevel="0" collapsed="false">
      <c r="A1189" s="12" t="s">
        <v>1430</v>
      </c>
      <c r="B1189" s="12" t="n">
        <v>1</v>
      </c>
      <c r="C1189" s="12" t="s">
        <v>43</v>
      </c>
      <c r="D1189" s="12" t="s">
        <v>234</v>
      </c>
      <c r="E1189" s="12" t="s">
        <v>110</v>
      </c>
      <c r="F1189" s="12" t="s">
        <v>322</v>
      </c>
      <c r="G1189" s="12" t="s">
        <v>53</v>
      </c>
      <c r="H1189" s="12" t="s">
        <v>39</v>
      </c>
      <c r="I1189" s="12" t="n">
        <v>3</v>
      </c>
      <c r="J1189" s="12" t="s">
        <v>47</v>
      </c>
      <c r="K1189" s="12" t="s">
        <v>63</v>
      </c>
      <c r="L1189" s="12" t="str">
        <f aca="false">IF(OR(H1189="Severe",H1189="Life-Threatening"),"Yes","No")</f>
        <v>No</v>
      </c>
      <c r="M1189" s="12" t="str">
        <f aca="false">IF(B1189&lt;18,"0-17",IF(B1189&lt;40,"18-39",IF(B1189&lt;60,"40-59","60+")))</f>
        <v>0-17</v>
      </c>
      <c r="N1189" s="12" t="str">
        <f aca="false">IF(I1189&lt;=1,"0-1 days",IF(I1189&lt;=7,"2-7 days",IF(I1189&lt;=30,"8-30 days","&gt;30 days")))</f>
        <v>2-7 days</v>
      </c>
    </row>
    <row r="1190" customFormat="false" ht="15" hidden="false" customHeight="false" outlineLevel="0" collapsed="false">
      <c r="A1190" s="12" t="s">
        <v>1431</v>
      </c>
      <c r="B1190" s="12" t="n">
        <v>82</v>
      </c>
      <c r="C1190" s="12" t="s">
        <v>34</v>
      </c>
      <c r="D1190" s="12" t="s">
        <v>55</v>
      </c>
      <c r="E1190" s="12" t="s">
        <v>376</v>
      </c>
      <c r="F1190" s="12" t="s">
        <v>62</v>
      </c>
      <c r="G1190" s="12" t="s">
        <v>53</v>
      </c>
      <c r="H1190" s="12" t="s">
        <v>76</v>
      </c>
      <c r="I1190" s="12" t="n">
        <v>19</v>
      </c>
      <c r="J1190" s="12" t="s">
        <v>47</v>
      </c>
      <c r="K1190" s="12" t="s">
        <v>48</v>
      </c>
      <c r="L1190" s="12" t="str">
        <f aca="false">IF(OR(H1190="Severe",H1190="Life-Threatening"),"Yes","No")</f>
        <v>Yes</v>
      </c>
      <c r="M1190" s="12" t="str">
        <f aca="false">IF(B1190&lt;18,"0-17",IF(B1190&lt;40,"18-39",IF(B1190&lt;60,"40-59","60+")))</f>
        <v>60+</v>
      </c>
      <c r="N1190" s="12" t="str">
        <f aca="false">IF(I1190&lt;=1,"0-1 days",IF(I1190&lt;=7,"2-7 days",IF(I1190&lt;=30,"8-30 days","&gt;30 days")))</f>
        <v>8-30 days</v>
      </c>
    </row>
    <row r="1191" customFormat="false" ht="15" hidden="false" customHeight="false" outlineLevel="0" collapsed="false">
      <c r="A1191" s="12" t="s">
        <v>1432</v>
      </c>
      <c r="B1191" s="12" t="n">
        <v>36</v>
      </c>
      <c r="C1191" s="12" t="s">
        <v>34</v>
      </c>
      <c r="D1191" s="12" t="s">
        <v>155</v>
      </c>
      <c r="E1191" s="12" t="s">
        <v>495</v>
      </c>
      <c r="F1191" s="12" t="s">
        <v>403</v>
      </c>
      <c r="G1191" s="12" t="s">
        <v>80</v>
      </c>
      <c r="H1191" s="12" t="s">
        <v>46</v>
      </c>
      <c r="I1191" s="12" t="n">
        <v>6</v>
      </c>
      <c r="J1191" s="12" t="s">
        <v>47</v>
      </c>
      <c r="K1191" s="12" t="s">
        <v>147</v>
      </c>
      <c r="L1191" s="12" t="str">
        <f aca="false">IF(OR(H1191="Severe",H1191="Life-Threatening"),"Yes","No")</f>
        <v>No</v>
      </c>
      <c r="M1191" s="12" t="str">
        <f aca="false">IF(B1191&lt;18,"0-17",IF(B1191&lt;40,"18-39",IF(B1191&lt;60,"40-59","60+")))</f>
        <v>18-39</v>
      </c>
      <c r="N1191" s="12" t="str">
        <f aca="false">IF(I1191&lt;=1,"0-1 days",IF(I1191&lt;=7,"2-7 days",IF(I1191&lt;=30,"8-30 days","&gt;30 days")))</f>
        <v>2-7 days</v>
      </c>
    </row>
    <row r="1192" customFormat="false" ht="15" hidden="false" customHeight="false" outlineLevel="0" collapsed="false">
      <c r="A1192" s="12" t="s">
        <v>1433</v>
      </c>
      <c r="B1192" s="12" t="n">
        <v>72</v>
      </c>
      <c r="C1192" s="12" t="s">
        <v>43</v>
      </c>
      <c r="D1192" s="12" t="s">
        <v>211</v>
      </c>
      <c r="E1192" s="12" t="s">
        <v>130</v>
      </c>
      <c r="F1192" s="12" t="s">
        <v>62</v>
      </c>
      <c r="G1192" s="12" t="s">
        <v>53</v>
      </c>
      <c r="H1192" s="12" t="s">
        <v>46</v>
      </c>
      <c r="I1192" s="12" t="n">
        <v>15</v>
      </c>
      <c r="J1192" s="12" t="s">
        <v>40</v>
      </c>
      <c r="K1192" s="12" t="s">
        <v>48</v>
      </c>
      <c r="L1192" s="12" t="str">
        <f aca="false">IF(OR(H1192="Severe",H1192="Life-Threatening"),"Yes","No")</f>
        <v>No</v>
      </c>
      <c r="M1192" s="12" t="str">
        <f aca="false">IF(B1192&lt;18,"0-17",IF(B1192&lt;40,"18-39",IF(B1192&lt;60,"40-59","60+")))</f>
        <v>60+</v>
      </c>
      <c r="N1192" s="12" t="str">
        <f aca="false">IF(I1192&lt;=1,"0-1 days",IF(I1192&lt;=7,"2-7 days",IF(I1192&lt;=30,"8-30 days","&gt;30 days")))</f>
        <v>8-30 days</v>
      </c>
    </row>
    <row r="1193" customFormat="false" ht="15" hidden="false" customHeight="false" outlineLevel="0" collapsed="false">
      <c r="A1193" s="12" t="s">
        <v>1434</v>
      </c>
      <c r="B1193" s="12" t="n">
        <v>37</v>
      </c>
      <c r="C1193" s="12" t="s">
        <v>34</v>
      </c>
      <c r="D1193" s="12" t="s">
        <v>117</v>
      </c>
      <c r="E1193" s="12" t="s">
        <v>239</v>
      </c>
      <c r="F1193" s="12" t="s">
        <v>62</v>
      </c>
      <c r="G1193" s="12" t="s">
        <v>53</v>
      </c>
      <c r="H1193" s="12" t="s">
        <v>46</v>
      </c>
      <c r="I1193" s="12" t="n">
        <v>4</v>
      </c>
      <c r="J1193" s="12" t="s">
        <v>47</v>
      </c>
      <c r="K1193" s="12" t="s">
        <v>48</v>
      </c>
      <c r="L1193" s="12" t="str">
        <f aca="false">IF(OR(H1193="Severe",H1193="Life-Threatening"),"Yes","No")</f>
        <v>No</v>
      </c>
      <c r="M1193" s="12" t="str">
        <f aca="false">IF(B1193&lt;18,"0-17",IF(B1193&lt;40,"18-39",IF(B1193&lt;60,"40-59","60+")))</f>
        <v>18-39</v>
      </c>
      <c r="N1193" s="12" t="str">
        <f aca="false">IF(I1193&lt;=1,"0-1 days",IF(I1193&lt;=7,"2-7 days",IF(I1193&lt;=30,"8-30 days","&gt;30 days")))</f>
        <v>2-7 days</v>
      </c>
    </row>
    <row r="1194" customFormat="false" ht="15" hidden="false" customHeight="false" outlineLevel="0" collapsed="false">
      <c r="A1194" s="12" t="s">
        <v>1435</v>
      </c>
      <c r="B1194" s="12" t="n">
        <v>45</v>
      </c>
      <c r="C1194" s="12" t="s">
        <v>43</v>
      </c>
      <c r="D1194" s="12" t="s">
        <v>85</v>
      </c>
      <c r="E1194" s="12" t="s">
        <v>51</v>
      </c>
      <c r="F1194" s="12" t="s">
        <v>145</v>
      </c>
      <c r="G1194" s="12" t="s">
        <v>146</v>
      </c>
      <c r="H1194" s="12" t="s">
        <v>76</v>
      </c>
      <c r="I1194" s="12" t="n">
        <v>24</v>
      </c>
      <c r="J1194" s="12" t="s">
        <v>47</v>
      </c>
      <c r="K1194" s="12" t="s">
        <v>48</v>
      </c>
      <c r="L1194" s="12" t="str">
        <f aca="false">IF(OR(H1194="Severe",H1194="Life-Threatening"),"Yes","No")</f>
        <v>Yes</v>
      </c>
      <c r="M1194" s="12" t="str">
        <f aca="false">IF(B1194&lt;18,"0-17",IF(B1194&lt;40,"18-39",IF(B1194&lt;60,"40-59","60+")))</f>
        <v>40-59</v>
      </c>
      <c r="N1194" s="12" t="str">
        <f aca="false">IF(I1194&lt;=1,"0-1 days",IF(I1194&lt;=7,"2-7 days",IF(I1194&lt;=30,"8-30 days","&gt;30 days")))</f>
        <v>8-30 days</v>
      </c>
    </row>
    <row r="1195" customFormat="false" ht="15" hidden="false" customHeight="false" outlineLevel="0" collapsed="false">
      <c r="A1195" s="12" t="s">
        <v>1436</v>
      </c>
      <c r="B1195" s="12" t="n">
        <v>44</v>
      </c>
      <c r="C1195" s="12" t="s">
        <v>43</v>
      </c>
      <c r="D1195" s="12" t="s">
        <v>123</v>
      </c>
      <c r="E1195" s="12" t="s">
        <v>44</v>
      </c>
      <c r="F1195" s="12" t="s">
        <v>435</v>
      </c>
      <c r="G1195" s="12" t="s">
        <v>146</v>
      </c>
      <c r="H1195" s="12" t="s">
        <v>76</v>
      </c>
      <c r="I1195" s="12" t="n">
        <v>13</v>
      </c>
      <c r="J1195" s="12" t="s">
        <v>40</v>
      </c>
      <c r="K1195" s="12" t="s">
        <v>63</v>
      </c>
      <c r="L1195" s="12" t="str">
        <f aca="false">IF(OR(H1195="Severe",H1195="Life-Threatening"),"Yes","No")</f>
        <v>Yes</v>
      </c>
      <c r="M1195" s="12" t="str">
        <f aca="false">IF(B1195&lt;18,"0-17",IF(B1195&lt;40,"18-39",IF(B1195&lt;60,"40-59","60+")))</f>
        <v>40-59</v>
      </c>
      <c r="N1195" s="12" t="str">
        <f aca="false">IF(I1195&lt;=1,"0-1 days",IF(I1195&lt;=7,"2-7 days",IF(I1195&lt;=30,"8-30 days","&gt;30 days")))</f>
        <v>8-30 days</v>
      </c>
    </row>
    <row r="1196" customFormat="false" ht="15" hidden="false" customHeight="false" outlineLevel="0" collapsed="false">
      <c r="A1196" s="12" t="s">
        <v>1437</v>
      </c>
      <c r="B1196" s="12" t="n">
        <v>24</v>
      </c>
      <c r="C1196" s="12" t="s">
        <v>34</v>
      </c>
      <c r="D1196" s="12" t="s">
        <v>155</v>
      </c>
      <c r="E1196" s="12" t="s">
        <v>324</v>
      </c>
      <c r="F1196" s="12" t="s">
        <v>325</v>
      </c>
      <c r="G1196" s="12" t="s">
        <v>177</v>
      </c>
      <c r="H1196" s="12" t="s">
        <v>59</v>
      </c>
      <c r="I1196" s="12" t="n">
        <v>16</v>
      </c>
      <c r="J1196" s="12" t="s">
        <v>169</v>
      </c>
      <c r="K1196" s="12" t="s">
        <v>41</v>
      </c>
      <c r="L1196" s="12" t="str">
        <f aca="false">IF(OR(H1196="Severe",H1196="Life-Threatening"),"Yes","No")</f>
        <v>Yes</v>
      </c>
      <c r="M1196" s="12" t="str">
        <f aca="false">IF(B1196&lt;18,"0-17",IF(B1196&lt;40,"18-39",IF(B1196&lt;60,"40-59","60+")))</f>
        <v>18-39</v>
      </c>
      <c r="N1196" s="12" t="str">
        <f aca="false">IF(I1196&lt;=1,"0-1 days",IF(I1196&lt;=7,"2-7 days",IF(I1196&lt;=30,"8-30 days","&gt;30 days")))</f>
        <v>8-30 days</v>
      </c>
    </row>
    <row r="1197" customFormat="false" ht="15" hidden="false" customHeight="false" outlineLevel="0" collapsed="false">
      <c r="A1197" s="12" t="s">
        <v>1438</v>
      </c>
      <c r="B1197" s="12" t="n">
        <v>21</v>
      </c>
      <c r="C1197" s="12" t="s">
        <v>43</v>
      </c>
      <c r="D1197" s="12" t="s">
        <v>196</v>
      </c>
      <c r="E1197" s="12" t="s">
        <v>227</v>
      </c>
      <c r="F1197" s="12" t="s">
        <v>264</v>
      </c>
      <c r="G1197" s="12" t="s">
        <v>104</v>
      </c>
      <c r="H1197" s="12" t="s">
        <v>76</v>
      </c>
      <c r="I1197" s="12" t="n">
        <v>7</v>
      </c>
      <c r="J1197" s="12" t="s">
        <v>169</v>
      </c>
      <c r="K1197" s="12" t="s">
        <v>48</v>
      </c>
      <c r="L1197" s="12" t="str">
        <f aca="false">IF(OR(H1197="Severe",H1197="Life-Threatening"),"Yes","No")</f>
        <v>Yes</v>
      </c>
      <c r="M1197" s="12" t="str">
        <f aca="false">IF(B1197&lt;18,"0-17",IF(B1197&lt;40,"18-39",IF(B1197&lt;60,"40-59","60+")))</f>
        <v>18-39</v>
      </c>
      <c r="N1197" s="12" t="str">
        <f aca="false">IF(I1197&lt;=1,"0-1 days",IF(I1197&lt;=7,"2-7 days",IF(I1197&lt;=30,"8-30 days","&gt;30 days")))</f>
        <v>2-7 days</v>
      </c>
    </row>
    <row r="1198" customFormat="false" ht="15" hidden="false" customHeight="false" outlineLevel="0" collapsed="false">
      <c r="A1198" s="12" t="s">
        <v>1439</v>
      </c>
      <c r="B1198" s="12" t="n">
        <v>95</v>
      </c>
      <c r="C1198" s="12" t="s">
        <v>34</v>
      </c>
      <c r="D1198" s="12" t="s">
        <v>55</v>
      </c>
      <c r="E1198" s="12" t="s">
        <v>301</v>
      </c>
      <c r="F1198" s="12" t="s">
        <v>302</v>
      </c>
      <c r="G1198" s="12" t="s">
        <v>53</v>
      </c>
      <c r="H1198" s="12" t="s">
        <v>39</v>
      </c>
      <c r="I1198" s="12" t="n">
        <v>38</v>
      </c>
      <c r="J1198" s="12" t="s">
        <v>40</v>
      </c>
      <c r="K1198" s="12" t="s">
        <v>63</v>
      </c>
      <c r="L1198" s="12" t="str">
        <f aca="false">IF(OR(H1198="Severe",H1198="Life-Threatening"),"Yes","No")</f>
        <v>No</v>
      </c>
      <c r="M1198" s="12" t="str">
        <f aca="false">IF(B1198&lt;18,"0-17",IF(B1198&lt;40,"18-39",IF(B1198&lt;60,"40-59","60+")))</f>
        <v>60+</v>
      </c>
      <c r="N1198" s="12" t="str">
        <f aca="false">IF(I1198&lt;=1,"0-1 days",IF(I1198&lt;=7,"2-7 days",IF(I1198&lt;=30,"8-30 days","&gt;30 days")))</f>
        <v>&gt;30 days</v>
      </c>
    </row>
    <row r="1199" customFormat="false" ht="15" hidden="false" customHeight="false" outlineLevel="0" collapsed="false">
      <c r="A1199" s="12" t="s">
        <v>1440</v>
      </c>
      <c r="B1199" s="12" t="n">
        <v>18</v>
      </c>
      <c r="C1199" s="12" t="s">
        <v>43</v>
      </c>
      <c r="D1199" s="12" t="s">
        <v>234</v>
      </c>
      <c r="E1199" s="12" t="s">
        <v>110</v>
      </c>
      <c r="F1199" s="12" t="s">
        <v>71</v>
      </c>
      <c r="G1199" s="12" t="s">
        <v>72</v>
      </c>
      <c r="H1199" s="12" t="s">
        <v>39</v>
      </c>
      <c r="I1199" s="12" t="n">
        <v>1</v>
      </c>
      <c r="J1199" s="12" t="s">
        <v>40</v>
      </c>
      <c r="K1199" s="12" t="s">
        <v>63</v>
      </c>
      <c r="L1199" s="12" t="str">
        <f aca="false">IF(OR(H1199="Severe",H1199="Life-Threatening"),"Yes","No")</f>
        <v>No</v>
      </c>
      <c r="M1199" s="12" t="str">
        <f aca="false">IF(B1199&lt;18,"0-17",IF(B1199&lt;40,"18-39",IF(B1199&lt;60,"40-59","60+")))</f>
        <v>18-39</v>
      </c>
      <c r="N1199" s="12" t="str">
        <f aca="false">IF(I1199&lt;=1,"0-1 days",IF(I1199&lt;=7,"2-7 days",IF(I1199&lt;=30,"8-30 days","&gt;30 days")))</f>
        <v>0-1 days</v>
      </c>
    </row>
    <row r="1200" customFormat="false" ht="15" hidden="false" customHeight="false" outlineLevel="0" collapsed="false">
      <c r="A1200" s="12" t="s">
        <v>1441</v>
      </c>
      <c r="B1200" s="12" t="n">
        <v>37</v>
      </c>
      <c r="C1200" s="12" t="s">
        <v>43</v>
      </c>
      <c r="D1200" s="12" t="s">
        <v>35</v>
      </c>
      <c r="E1200" s="12" t="s">
        <v>454</v>
      </c>
      <c r="F1200" s="12" t="s">
        <v>45</v>
      </c>
      <c r="G1200" s="12" t="s">
        <v>38</v>
      </c>
      <c r="H1200" s="12" t="s">
        <v>39</v>
      </c>
      <c r="I1200" s="12" t="n">
        <v>28</v>
      </c>
      <c r="J1200" s="12" t="s">
        <v>40</v>
      </c>
      <c r="K1200" s="12" t="s">
        <v>48</v>
      </c>
      <c r="L1200" s="12" t="str">
        <f aca="false">IF(OR(H1200="Severe",H1200="Life-Threatening"),"Yes","No")</f>
        <v>No</v>
      </c>
      <c r="M1200" s="12" t="str">
        <f aca="false">IF(B1200&lt;18,"0-17",IF(B1200&lt;40,"18-39",IF(B1200&lt;60,"40-59","60+")))</f>
        <v>18-39</v>
      </c>
      <c r="N1200" s="12" t="str">
        <f aca="false">IF(I1200&lt;=1,"0-1 days",IF(I1200&lt;=7,"2-7 days",IF(I1200&lt;=30,"8-30 days","&gt;30 days")))</f>
        <v>8-30 days</v>
      </c>
    </row>
    <row r="1201" customFormat="false" ht="15" hidden="false" customHeight="false" outlineLevel="0" collapsed="false">
      <c r="A1201" s="12" t="s">
        <v>1442</v>
      </c>
      <c r="B1201" s="12" t="n">
        <v>37</v>
      </c>
      <c r="C1201" s="12" t="s">
        <v>43</v>
      </c>
      <c r="D1201" s="12" t="s">
        <v>245</v>
      </c>
      <c r="E1201" s="12" t="s">
        <v>141</v>
      </c>
      <c r="F1201" s="12" t="s">
        <v>62</v>
      </c>
      <c r="G1201" s="12" t="s">
        <v>53</v>
      </c>
      <c r="H1201" s="12" t="s">
        <v>46</v>
      </c>
      <c r="I1201" s="12" t="n">
        <v>25</v>
      </c>
      <c r="J1201" s="12" t="s">
        <v>40</v>
      </c>
      <c r="K1201" s="12" t="s">
        <v>63</v>
      </c>
      <c r="L1201" s="12" t="str">
        <f aca="false">IF(OR(H1201="Severe",H1201="Life-Threatening"),"Yes","No")</f>
        <v>No</v>
      </c>
      <c r="M1201" s="12" t="str">
        <f aca="false">IF(B1201&lt;18,"0-17",IF(B1201&lt;40,"18-39",IF(B1201&lt;60,"40-59","60+")))</f>
        <v>18-39</v>
      </c>
      <c r="N1201" s="12" t="str">
        <f aca="false">IF(I1201&lt;=1,"0-1 days",IF(I1201&lt;=7,"2-7 days",IF(I1201&lt;=30,"8-30 days","&gt;30 days")))</f>
        <v>8-30 days</v>
      </c>
    </row>
    <row r="1202" customFormat="false" ht="15" hidden="false" customHeight="false" outlineLevel="0" collapsed="false">
      <c r="A1202" s="12" t="s">
        <v>1443</v>
      </c>
      <c r="B1202" s="12" t="n">
        <v>34</v>
      </c>
      <c r="C1202" s="12" t="s">
        <v>43</v>
      </c>
      <c r="D1202" s="12" t="s">
        <v>211</v>
      </c>
      <c r="E1202" s="12" t="s">
        <v>287</v>
      </c>
      <c r="F1202" s="12" t="s">
        <v>45</v>
      </c>
      <c r="G1202" s="12" t="s">
        <v>38</v>
      </c>
      <c r="H1202" s="12" t="s">
        <v>39</v>
      </c>
      <c r="I1202" s="12" t="n">
        <v>12</v>
      </c>
      <c r="J1202" s="12" t="s">
        <v>40</v>
      </c>
      <c r="K1202" s="12" t="s">
        <v>48</v>
      </c>
      <c r="L1202" s="12" t="str">
        <f aca="false">IF(OR(H1202="Severe",H1202="Life-Threatening"),"Yes","No")</f>
        <v>No</v>
      </c>
      <c r="M1202" s="12" t="str">
        <f aca="false">IF(B1202&lt;18,"0-17",IF(B1202&lt;40,"18-39",IF(B1202&lt;60,"40-59","60+")))</f>
        <v>18-39</v>
      </c>
      <c r="N1202" s="12" t="str">
        <f aca="false">IF(I1202&lt;=1,"0-1 days",IF(I1202&lt;=7,"2-7 days",IF(I1202&lt;=30,"8-30 days","&gt;30 days")))</f>
        <v>8-30 days</v>
      </c>
    </row>
    <row r="1203" customFormat="false" ht="15" hidden="false" customHeight="false" outlineLevel="0" collapsed="false">
      <c r="A1203" s="12" t="s">
        <v>1444</v>
      </c>
      <c r="B1203" s="12" t="n">
        <v>62</v>
      </c>
      <c r="C1203" s="12" t="s">
        <v>43</v>
      </c>
      <c r="D1203" s="12" t="s">
        <v>35</v>
      </c>
      <c r="E1203" s="12" t="s">
        <v>118</v>
      </c>
      <c r="F1203" s="12" t="s">
        <v>192</v>
      </c>
      <c r="G1203" s="12" t="s">
        <v>53</v>
      </c>
      <c r="H1203" s="12" t="s">
        <v>59</v>
      </c>
      <c r="I1203" s="12" t="n">
        <v>29</v>
      </c>
      <c r="J1203" s="12" t="s">
        <v>40</v>
      </c>
      <c r="K1203" s="12" t="s">
        <v>48</v>
      </c>
      <c r="L1203" s="12" t="str">
        <f aca="false">IF(OR(H1203="Severe",H1203="Life-Threatening"),"Yes","No")</f>
        <v>Yes</v>
      </c>
      <c r="M1203" s="12" t="str">
        <f aca="false">IF(B1203&lt;18,"0-17",IF(B1203&lt;40,"18-39",IF(B1203&lt;60,"40-59","60+")))</f>
        <v>60+</v>
      </c>
      <c r="N1203" s="12" t="str">
        <f aca="false">IF(I1203&lt;=1,"0-1 days",IF(I1203&lt;=7,"2-7 days",IF(I1203&lt;=30,"8-30 days","&gt;30 days")))</f>
        <v>8-30 days</v>
      </c>
    </row>
    <row r="1204" customFormat="false" ht="15" hidden="false" customHeight="false" outlineLevel="0" collapsed="false">
      <c r="A1204" s="12" t="s">
        <v>1445</v>
      </c>
      <c r="B1204" s="12" t="n">
        <v>37</v>
      </c>
      <c r="C1204" s="12" t="s">
        <v>43</v>
      </c>
      <c r="D1204" s="12" t="s">
        <v>327</v>
      </c>
      <c r="E1204" s="12" t="s">
        <v>175</v>
      </c>
      <c r="F1204" s="12" t="s">
        <v>371</v>
      </c>
      <c r="G1204" s="12" t="s">
        <v>72</v>
      </c>
      <c r="H1204" s="12" t="s">
        <v>76</v>
      </c>
      <c r="I1204" s="12" t="n">
        <v>14</v>
      </c>
      <c r="J1204" s="12" t="s">
        <v>40</v>
      </c>
      <c r="K1204" s="12" t="s">
        <v>48</v>
      </c>
      <c r="L1204" s="12" t="str">
        <f aca="false">IF(OR(H1204="Severe",H1204="Life-Threatening"),"Yes","No")</f>
        <v>Yes</v>
      </c>
      <c r="M1204" s="12" t="str">
        <f aca="false">IF(B1204&lt;18,"0-17",IF(B1204&lt;40,"18-39",IF(B1204&lt;60,"40-59","60+")))</f>
        <v>18-39</v>
      </c>
      <c r="N1204" s="12" t="str">
        <f aca="false">IF(I1204&lt;=1,"0-1 days",IF(I1204&lt;=7,"2-7 days",IF(I1204&lt;=30,"8-30 days","&gt;30 days")))</f>
        <v>8-30 days</v>
      </c>
    </row>
    <row r="1205" customFormat="false" ht="15" hidden="false" customHeight="false" outlineLevel="0" collapsed="false">
      <c r="A1205" s="12" t="s">
        <v>1446</v>
      </c>
      <c r="B1205" s="12" t="n">
        <v>37</v>
      </c>
      <c r="C1205" s="12" t="s">
        <v>34</v>
      </c>
      <c r="D1205" s="12" t="s">
        <v>55</v>
      </c>
      <c r="E1205" s="12" t="s">
        <v>191</v>
      </c>
      <c r="F1205" s="12" t="s">
        <v>128</v>
      </c>
      <c r="G1205" s="12" t="s">
        <v>53</v>
      </c>
      <c r="H1205" s="12" t="s">
        <v>46</v>
      </c>
      <c r="I1205" s="12" t="n">
        <v>7</v>
      </c>
      <c r="J1205" s="12" t="s">
        <v>40</v>
      </c>
      <c r="K1205" s="12" t="s">
        <v>63</v>
      </c>
      <c r="L1205" s="12" t="str">
        <f aca="false">IF(OR(H1205="Severe",H1205="Life-Threatening"),"Yes","No")</f>
        <v>No</v>
      </c>
      <c r="M1205" s="12" t="str">
        <f aca="false">IF(B1205&lt;18,"0-17",IF(B1205&lt;40,"18-39",IF(B1205&lt;60,"40-59","60+")))</f>
        <v>18-39</v>
      </c>
      <c r="N1205" s="12" t="str">
        <f aca="false">IF(I1205&lt;=1,"0-1 days",IF(I1205&lt;=7,"2-7 days",IF(I1205&lt;=30,"8-30 days","&gt;30 days")))</f>
        <v>2-7 days</v>
      </c>
    </row>
    <row r="1206" customFormat="false" ht="15" hidden="false" customHeight="false" outlineLevel="0" collapsed="false">
      <c r="A1206" s="12" t="s">
        <v>1447</v>
      </c>
      <c r="B1206" s="12" t="n">
        <v>27</v>
      </c>
      <c r="C1206" s="12" t="s">
        <v>43</v>
      </c>
      <c r="D1206" s="12" t="s">
        <v>196</v>
      </c>
      <c r="E1206" s="12" t="s">
        <v>200</v>
      </c>
      <c r="F1206" s="12" t="s">
        <v>79</v>
      </c>
      <c r="G1206" s="12" t="s">
        <v>80</v>
      </c>
      <c r="H1206" s="12" t="s">
        <v>59</v>
      </c>
      <c r="I1206" s="12" t="n">
        <v>28</v>
      </c>
      <c r="J1206" s="12" t="s">
        <v>105</v>
      </c>
      <c r="K1206" s="12" t="s">
        <v>48</v>
      </c>
      <c r="L1206" s="12" t="str">
        <f aca="false">IF(OR(H1206="Severe",H1206="Life-Threatening"),"Yes","No")</f>
        <v>Yes</v>
      </c>
      <c r="M1206" s="12" t="str">
        <f aca="false">IF(B1206&lt;18,"0-17",IF(B1206&lt;40,"18-39",IF(B1206&lt;60,"40-59","60+")))</f>
        <v>18-39</v>
      </c>
      <c r="N1206" s="12" t="str">
        <f aca="false">IF(I1206&lt;=1,"0-1 days",IF(I1206&lt;=7,"2-7 days",IF(I1206&lt;=30,"8-30 days","&gt;30 days")))</f>
        <v>8-30 days</v>
      </c>
    </row>
    <row r="1207" customFormat="false" ht="15" hidden="false" customHeight="false" outlineLevel="0" collapsed="false">
      <c r="A1207" s="12" t="s">
        <v>1448</v>
      </c>
      <c r="B1207" s="12" t="n">
        <v>78</v>
      </c>
      <c r="C1207" s="12" t="s">
        <v>34</v>
      </c>
      <c r="D1207" s="12" t="s">
        <v>35</v>
      </c>
      <c r="E1207" s="12" t="s">
        <v>261</v>
      </c>
      <c r="F1207" s="12" t="s">
        <v>221</v>
      </c>
      <c r="G1207" s="12" t="s">
        <v>94</v>
      </c>
      <c r="H1207" s="12" t="s">
        <v>76</v>
      </c>
      <c r="I1207" s="12" t="n">
        <v>0</v>
      </c>
      <c r="J1207" s="12" t="s">
        <v>40</v>
      </c>
      <c r="K1207" s="12" t="s">
        <v>48</v>
      </c>
      <c r="L1207" s="12" t="str">
        <f aca="false">IF(OR(H1207="Severe",H1207="Life-Threatening"),"Yes","No")</f>
        <v>Yes</v>
      </c>
      <c r="M1207" s="12" t="str">
        <f aca="false">IF(B1207&lt;18,"0-17",IF(B1207&lt;40,"18-39",IF(B1207&lt;60,"40-59","60+")))</f>
        <v>60+</v>
      </c>
      <c r="N1207" s="12" t="str">
        <f aca="false">IF(I1207&lt;=1,"0-1 days",IF(I1207&lt;=7,"2-7 days",IF(I1207&lt;=30,"8-30 days","&gt;30 days")))</f>
        <v>0-1 days</v>
      </c>
    </row>
    <row r="1208" customFormat="false" ht="15" hidden="false" customHeight="false" outlineLevel="0" collapsed="false">
      <c r="A1208" s="12" t="s">
        <v>1449</v>
      </c>
      <c r="B1208" s="12" t="n">
        <v>59</v>
      </c>
      <c r="C1208" s="12" t="s">
        <v>43</v>
      </c>
      <c r="D1208" s="12" t="s">
        <v>69</v>
      </c>
      <c r="E1208" s="12" t="s">
        <v>96</v>
      </c>
      <c r="F1208" s="12" t="s">
        <v>97</v>
      </c>
      <c r="G1208" s="12" t="s">
        <v>94</v>
      </c>
      <c r="H1208" s="12" t="s">
        <v>39</v>
      </c>
      <c r="I1208" s="12" t="n">
        <v>26</v>
      </c>
      <c r="J1208" s="12" t="s">
        <v>47</v>
      </c>
      <c r="K1208" s="12" t="s">
        <v>48</v>
      </c>
      <c r="L1208" s="12" t="str">
        <f aca="false">IF(OR(H1208="Severe",H1208="Life-Threatening"),"Yes","No")</f>
        <v>No</v>
      </c>
      <c r="M1208" s="12" t="str">
        <f aca="false">IF(B1208&lt;18,"0-17",IF(B1208&lt;40,"18-39",IF(B1208&lt;60,"40-59","60+")))</f>
        <v>40-59</v>
      </c>
      <c r="N1208" s="12" t="str">
        <f aca="false">IF(I1208&lt;=1,"0-1 days",IF(I1208&lt;=7,"2-7 days",IF(I1208&lt;=30,"8-30 days","&gt;30 days")))</f>
        <v>8-30 days</v>
      </c>
    </row>
    <row r="1209" customFormat="false" ht="15" hidden="false" customHeight="false" outlineLevel="0" collapsed="false">
      <c r="A1209" s="12" t="s">
        <v>1450</v>
      </c>
      <c r="B1209" s="12" t="n">
        <v>37</v>
      </c>
      <c r="C1209" s="12" t="s">
        <v>43</v>
      </c>
      <c r="D1209" s="12" t="s">
        <v>69</v>
      </c>
      <c r="E1209" s="12" t="s">
        <v>253</v>
      </c>
      <c r="F1209" s="12" t="s">
        <v>135</v>
      </c>
      <c r="G1209" s="12" t="s">
        <v>136</v>
      </c>
      <c r="H1209" s="12" t="s">
        <v>46</v>
      </c>
      <c r="I1209" s="12" t="n">
        <v>12</v>
      </c>
      <c r="J1209" s="12" t="s">
        <v>40</v>
      </c>
      <c r="K1209" s="12" t="s">
        <v>48</v>
      </c>
      <c r="L1209" s="12" t="str">
        <f aca="false">IF(OR(H1209="Severe",H1209="Life-Threatening"),"Yes","No")</f>
        <v>No</v>
      </c>
      <c r="M1209" s="12" t="str">
        <f aca="false">IF(B1209&lt;18,"0-17",IF(B1209&lt;40,"18-39",IF(B1209&lt;60,"40-59","60+")))</f>
        <v>18-39</v>
      </c>
      <c r="N1209" s="12" t="str">
        <f aca="false">IF(I1209&lt;=1,"0-1 days",IF(I1209&lt;=7,"2-7 days",IF(I1209&lt;=30,"8-30 days","&gt;30 days")))</f>
        <v>8-30 days</v>
      </c>
    </row>
    <row r="1210" customFormat="false" ht="15" hidden="false" customHeight="false" outlineLevel="0" collapsed="false">
      <c r="A1210" s="12" t="s">
        <v>1451</v>
      </c>
      <c r="B1210" s="12" t="n">
        <v>26</v>
      </c>
      <c r="C1210" s="12" t="s">
        <v>43</v>
      </c>
      <c r="D1210" s="12" t="s">
        <v>168</v>
      </c>
      <c r="E1210" s="12" t="s">
        <v>160</v>
      </c>
      <c r="F1210" s="12" t="s">
        <v>235</v>
      </c>
      <c r="G1210" s="12" t="s">
        <v>53</v>
      </c>
      <c r="H1210" s="12" t="s">
        <v>46</v>
      </c>
      <c r="I1210" s="12" t="n">
        <v>12</v>
      </c>
      <c r="J1210" s="12" t="s">
        <v>40</v>
      </c>
      <c r="K1210" s="12" t="s">
        <v>48</v>
      </c>
      <c r="L1210" s="12" t="str">
        <f aca="false">IF(OR(H1210="Severe",H1210="Life-Threatening"),"Yes","No")</f>
        <v>No</v>
      </c>
      <c r="M1210" s="12" t="str">
        <f aca="false">IF(B1210&lt;18,"0-17",IF(B1210&lt;40,"18-39",IF(B1210&lt;60,"40-59","60+")))</f>
        <v>18-39</v>
      </c>
      <c r="N1210" s="12" t="str">
        <f aca="false">IF(I1210&lt;=1,"0-1 days",IF(I1210&lt;=7,"2-7 days",IF(I1210&lt;=30,"8-30 days","&gt;30 days")))</f>
        <v>8-30 days</v>
      </c>
    </row>
    <row r="1211" customFormat="false" ht="15" hidden="false" customHeight="false" outlineLevel="0" collapsed="false">
      <c r="A1211" s="12" t="s">
        <v>1452</v>
      </c>
      <c r="B1211" s="12" t="n">
        <v>54</v>
      </c>
      <c r="C1211" s="12" t="s">
        <v>34</v>
      </c>
      <c r="D1211" s="12" t="s">
        <v>69</v>
      </c>
      <c r="E1211" s="12" t="s">
        <v>383</v>
      </c>
      <c r="F1211" s="12" t="s">
        <v>139</v>
      </c>
      <c r="G1211" s="12" t="s">
        <v>38</v>
      </c>
      <c r="H1211" s="12" t="s">
        <v>39</v>
      </c>
      <c r="I1211" s="12" t="n">
        <v>5</v>
      </c>
      <c r="J1211" s="12" t="s">
        <v>40</v>
      </c>
      <c r="K1211" s="12" t="s">
        <v>48</v>
      </c>
      <c r="L1211" s="12" t="str">
        <f aca="false">IF(OR(H1211="Severe",H1211="Life-Threatening"),"Yes","No")</f>
        <v>No</v>
      </c>
      <c r="M1211" s="12" t="str">
        <f aca="false">IF(B1211&lt;18,"0-17",IF(B1211&lt;40,"18-39",IF(B1211&lt;60,"40-59","60+")))</f>
        <v>40-59</v>
      </c>
      <c r="N1211" s="12" t="str">
        <f aca="false">IF(I1211&lt;=1,"0-1 days",IF(I1211&lt;=7,"2-7 days",IF(I1211&lt;=30,"8-30 days","&gt;30 days")))</f>
        <v>2-7 days</v>
      </c>
    </row>
    <row r="1212" customFormat="false" ht="15" hidden="false" customHeight="false" outlineLevel="0" collapsed="false">
      <c r="A1212" s="12" t="s">
        <v>1453</v>
      </c>
      <c r="B1212" s="12" t="n">
        <v>31</v>
      </c>
      <c r="C1212" s="12" t="s">
        <v>43</v>
      </c>
      <c r="D1212" s="12" t="s">
        <v>35</v>
      </c>
      <c r="E1212" s="12" t="s">
        <v>127</v>
      </c>
      <c r="F1212" s="12" t="s">
        <v>128</v>
      </c>
      <c r="G1212" s="12" t="s">
        <v>53</v>
      </c>
      <c r="H1212" s="12" t="s">
        <v>46</v>
      </c>
      <c r="I1212" s="12" t="n">
        <v>12</v>
      </c>
      <c r="J1212" s="12" t="s">
        <v>40</v>
      </c>
      <c r="K1212" s="12" t="s">
        <v>41</v>
      </c>
      <c r="L1212" s="12" t="str">
        <f aca="false">IF(OR(H1212="Severe",H1212="Life-Threatening"),"Yes","No")</f>
        <v>No</v>
      </c>
      <c r="M1212" s="12" t="str">
        <f aca="false">IF(B1212&lt;18,"0-17",IF(B1212&lt;40,"18-39",IF(B1212&lt;60,"40-59","60+")))</f>
        <v>18-39</v>
      </c>
      <c r="N1212" s="12" t="str">
        <f aca="false">IF(I1212&lt;=1,"0-1 days",IF(I1212&lt;=7,"2-7 days",IF(I1212&lt;=30,"8-30 days","&gt;30 days")))</f>
        <v>8-30 days</v>
      </c>
    </row>
    <row r="1213" customFormat="false" ht="15" hidden="false" customHeight="false" outlineLevel="0" collapsed="false">
      <c r="A1213" s="12" t="s">
        <v>1454</v>
      </c>
      <c r="B1213" s="12" t="n">
        <v>60</v>
      </c>
      <c r="C1213" s="12" t="s">
        <v>34</v>
      </c>
      <c r="D1213" s="12" t="s">
        <v>50</v>
      </c>
      <c r="E1213" s="12" t="s">
        <v>138</v>
      </c>
      <c r="F1213" s="12" t="s">
        <v>214</v>
      </c>
      <c r="G1213" s="12" t="s">
        <v>115</v>
      </c>
      <c r="H1213" s="12" t="s">
        <v>59</v>
      </c>
      <c r="I1213" s="12" t="n">
        <v>11</v>
      </c>
      <c r="J1213" s="12" t="s">
        <v>67</v>
      </c>
      <c r="K1213" s="12" t="s">
        <v>41</v>
      </c>
      <c r="L1213" s="12" t="str">
        <f aca="false">IF(OR(H1213="Severe",H1213="Life-Threatening"),"Yes","No")</f>
        <v>Yes</v>
      </c>
      <c r="M1213" s="12" t="str">
        <f aca="false">IF(B1213&lt;18,"0-17",IF(B1213&lt;40,"18-39",IF(B1213&lt;60,"40-59","60+")))</f>
        <v>60+</v>
      </c>
      <c r="N1213" s="12" t="str">
        <f aca="false">IF(I1213&lt;=1,"0-1 days",IF(I1213&lt;=7,"2-7 days",IF(I1213&lt;=30,"8-30 days","&gt;30 days")))</f>
        <v>8-30 days</v>
      </c>
    </row>
    <row r="1214" customFormat="false" ht="15" hidden="false" customHeight="false" outlineLevel="0" collapsed="false">
      <c r="A1214" s="12" t="s">
        <v>1455</v>
      </c>
      <c r="B1214" s="12" t="n">
        <v>75</v>
      </c>
      <c r="C1214" s="12" t="s">
        <v>43</v>
      </c>
      <c r="D1214" s="12" t="s">
        <v>55</v>
      </c>
      <c r="E1214" s="12" t="s">
        <v>253</v>
      </c>
      <c r="F1214" s="12" t="s">
        <v>254</v>
      </c>
      <c r="G1214" s="12" t="s">
        <v>136</v>
      </c>
      <c r="H1214" s="12" t="s">
        <v>39</v>
      </c>
      <c r="I1214" s="12" t="n">
        <v>27</v>
      </c>
      <c r="J1214" s="12" t="s">
        <v>40</v>
      </c>
      <c r="K1214" s="12" t="s">
        <v>63</v>
      </c>
      <c r="L1214" s="12" t="str">
        <f aca="false">IF(OR(H1214="Severe",H1214="Life-Threatening"),"Yes","No")</f>
        <v>No</v>
      </c>
      <c r="M1214" s="12" t="str">
        <f aca="false">IF(B1214&lt;18,"0-17",IF(B1214&lt;40,"18-39",IF(B1214&lt;60,"40-59","60+")))</f>
        <v>60+</v>
      </c>
      <c r="N1214" s="12" t="str">
        <f aca="false">IF(I1214&lt;=1,"0-1 days",IF(I1214&lt;=7,"2-7 days",IF(I1214&lt;=30,"8-30 days","&gt;30 days")))</f>
        <v>8-30 days</v>
      </c>
    </row>
    <row r="1215" customFormat="false" ht="15" hidden="false" customHeight="false" outlineLevel="0" collapsed="false">
      <c r="A1215" s="12" t="s">
        <v>1456</v>
      </c>
      <c r="B1215" s="12" t="n">
        <v>48</v>
      </c>
      <c r="C1215" s="12" t="s">
        <v>34</v>
      </c>
      <c r="D1215" s="12" t="s">
        <v>35</v>
      </c>
      <c r="E1215" s="12" t="s">
        <v>118</v>
      </c>
      <c r="F1215" s="12" t="s">
        <v>192</v>
      </c>
      <c r="G1215" s="12" t="s">
        <v>53</v>
      </c>
      <c r="H1215" s="12" t="s">
        <v>59</v>
      </c>
      <c r="I1215" s="12" t="n">
        <v>5</v>
      </c>
      <c r="J1215" s="12" t="s">
        <v>40</v>
      </c>
      <c r="K1215" s="12" t="s">
        <v>147</v>
      </c>
      <c r="L1215" s="12" t="str">
        <f aca="false">IF(OR(H1215="Severe",H1215="Life-Threatening"),"Yes","No")</f>
        <v>Yes</v>
      </c>
      <c r="M1215" s="12" t="str">
        <f aca="false">IF(B1215&lt;18,"0-17",IF(B1215&lt;40,"18-39",IF(B1215&lt;60,"40-59","60+")))</f>
        <v>40-59</v>
      </c>
      <c r="N1215" s="12" t="str">
        <f aca="false">IF(I1215&lt;=1,"0-1 days",IF(I1215&lt;=7,"2-7 days",IF(I1215&lt;=30,"8-30 days","&gt;30 days")))</f>
        <v>2-7 days</v>
      </c>
    </row>
    <row r="1216" customFormat="false" ht="15" hidden="false" customHeight="false" outlineLevel="0" collapsed="false">
      <c r="A1216" s="12" t="s">
        <v>1457</v>
      </c>
      <c r="B1216" s="12" t="n">
        <v>5</v>
      </c>
      <c r="C1216" s="12" t="s">
        <v>34</v>
      </c>
      <c r="D1216" s="12" t="s">
        <v>126</v>
      </c>
      <c r="E1216" s="12" t="s">
        <v>173</v>
      </c>
      <c r="F1216" s="12" t="s">
        <v>114</v>
      </c>
      <c r="G1216" s="12" t="s">
        <v>115</v>
      </c>
      <c r="H1216" s="12" t="s">
        <v>76</v>
      </c>
      <c r="I1216" s="12" t="n">
        <v>8</v>
      </c>
      <c r="J1216" s="12" t="s">
        <v>47</v>
      </c>
      <c r="K1216" s="12" t="s">
        <v>63</v>
      </c>
      <c r="L1216" s="12" t="str">
        <f aca="false">IF(OR(H1216="Severe",H1216="Life-Threatening"),"Yes","No")</f>
        <v>Yes</v>
      </c>
      <c r="M1216" s="12" t="str">
        <f aca="false">IF(B1216&lt;18,"0-17",IF(B1216&lt;40,"18-39",IF(B1216&lt;60,"40-59","60+")))</f>
        <v>0-17</v>
      </c>
      <c r="N1216" s="12" t="str">
        <f aca="false">IF(I1216&lt;=1,"0-1 days",IF(I1216&lt;=7,"2-7 days",IF(I1216&lt;=30,"8-30 days","&gt;30 days")))</f>
        <v>8-30 days</v>
      </c>
    </row>
    <row r="1217" customFormat="false" ht="15" hidden="false" customHeight="false" outlineLevel="0" collapsed="false">
      <c r="A1217" s="12" t="s">
        <v>1458</v>
      </c>
      <c r="B1217" s="12" t="n">
        <v>49</v>
      </c>
      <c r="C1217" s="12" t="s">
        <v>34</v>
      </c>
      <c r="D1217" s="12" t="s">
        <v>112</v>
      </c>
      <c r="E1217" s="12" t="s">
        <v>407</v>
      </c>
      <c r="F1217" s="12" t="s">
        <v>176</v>
      </c>
      <c r="G1217" s="12" t="s">
        <v>177</v>
      </c>
      <c r="H1217" s="12" t="s">
        <v>59</v>
      </c>
      <c r="I1217" s="12" t="n">
        <v>23</v>
      </c>
      <c r="J1217" s="12" t="s">
        <v>169</v>
      </c>
      <c r="K1217" s="12" t="s">
        <v>63</v>
      </c>
      <c r="L1217" s="12" t="str">
        <f aca="false">IF(OR(H1217="Severe",H1217="Life-Threatening"),"Yes","No")</f>
        <v>Yes</v>
      </c>
      <c r="M1217" s="12" t="str">
        <f aca="false">IF(B1217&lt;18,"0-17",IF(B1217&lt;40,"18-39",IF(B1217&lt;60,"40-59","60+")))</f>
        <v>40-59</v>
      </c>
      <c r="N1217" s="12" t="str">
        <f aca="false">IF(I1217&lt;=1,"0-1 days",IF(I1217&lt;=7,"2-7 days",IF(I1217&lt;=30,"8-30 days","&gt;30 days")))</f>
        <v>8-30 days</v>
      </c>
    </row>
    <row r="1218" customFormat="false" ht="15" hidden="false" customHeight="false" outlineLevel="0" collapsed="false">
      <c r="A1218" s="12" t="s">
        <v>1459</v>
      </c>
      <c r="B1218" s="12" t="n">
        <v>53</v>
      </c>
      <c r="C1218" s="12" t="s">
        <v>43</v>
      </c>
      <c r="D1218" s="12" t="s">
        <v>144</v>
      </c>
      <c r="E1218" s="12" t="s">
        <v>191</v>
      </c>
      <c r="F1218" s="12" t="s">
        <v>45</v>
      </c>
      <c r="G1218" s="12" t="s">
        <v>38</v>
      </c>
      <c r="H1218" s="12" t="s">
        <v>46</v>
      </c>
      <c r="I1218" s="12" t="n">
        <v>14</v>
      </c>
      <c r="J1218" s="12" t="s">
        <v>47</v>
      </c>
      <c r="K1218" s="12" t="s">
        <v>63</v>
      </c>
      <c r="L1218" s="12" t="str">
        <f aca="false">IF(OR(H1218="Severe",H1218="Life-Threatening"),"Yes","No")</f>
        <v>No</v>
      </c>
      <c r="M1218" s="12" t="str">
        <f aca="false">IF(B1218&lt;18,"0-17",IF(B1218&lt;40,"18-39",IF(B1218&lt;60,"40-59","60+")))</f>
        <v>40-59</v>
      </c>
      <c r="N1218" s="12" t="str">
        <f aca="false">IF(I1218&lt;=1,"0-1 days",IF(I1218&lt;=7,"2-7 days",IF(I1218&lt;=30,"8-30 days","&gt;30 days")))</f>
        <v>8-30 days</v>
      </c>
    </row>
    <row r="1219" customFormat="false" ht="15" hidden="false" customHeight="false" outlineLevel="0" collapsed="false">
      <c r="A1219" s="12" t="s">
        <v>1460</v>
      </c>
      <c r="B1219" s="12" t="n">
        <v>67</v>
      </c>
      <c r="C1219" s="12" t="s">
        <v>43</v>
      </c>
      <c r="D1219" s="12" t="s">
        <v>168</v>
      </c>
      <c r="E1219" s="12" t="s">
        <v>107</v>
      </c>
      <c r="F1219" s="12" t="s">
        <v>108</v>
      </c>
      <c r="G1219" s="12" t="s">
        <v>38</v>
      </c>
      <c r="H1219" s="12" t="s">
        <v>46</v>
      </c>
      <c r="I1219" s="12" t="n">
        <v>19</v>
      </c>
      <c r="J1219" s="12" t="s">
        <v>40</v>
      </c>
      <c r="K1219" s="12" t="s">
        <v>48</v>
      </c>
      <c r="L1219" s="12" t="str">
        <f aca="false">IF(OR(H1219="Severe",H1219="Life-Threatening"),"Yes","No")</f>
        <v>No</v>
      </c>
      <c r="M1219" s="12" t="str">
        <f aca="false">IF(B1219&lt;18,"0-17",IF(B1219&lt;40,"18-39",IF(B1219&lt;60,"40-59","60+")))</f>
        <v>60+</v>
      </c>
      <c r="N1219" s="12" t="str">
        <f aca="false">IF(I1219&lt;=1,"0-1 days",IF(I1219&lt;=7,"2-7 days",IF(I1219&lt;=30,"8-30 days","&gt;30 days")))</f>
        <v>8-30 days</v>
      </c>
    </row>
    <row r="1220" customFormat="false" ht="15" hidden="false" customHeight="false" outlineLevel="0" collapsed="false">
      <c r="A1220" s="12" t="s">
        <v>1461</v>
      </c>
      <c r="B1220" s="12" t="n">
        <v>83</v>
      </c>
      <c r="C1220" s="12" t="s">
        <v>43</v>
      </c>
      <c r="D1220" s="12" t="s">
        <v>35</v>
      </c>
      <c r="E1220" s="12" t="s">
        <v>56</v>
      </c>
      <c r="F1220" s="12" t="s">
        <v>57</v>
      </c>
      <c r="G1220" s="12" t="s">
        <v>58</v>
      </c>
      <c r="H1220" s="12" t="s">
        <v>76</v>
      </c>
      <c r="I1220" s="12" t="n">
        <v>1</v>
      </c>
      <c r="J1220" s="12" t="s">
        <v>40</v>
      </c>
      <c r="K1220" s="12" t="s">
        <v>48</v>
      </c>
      <c r="L1220" s="12" t="str">
        <f aca="false">IF(OR(H1220="Severe",H1220="Life-Threatening"),"Yes","No")</f>
        <v>Yes</v>
      </c>
      <c r="M1220" s="12" t="str">
        <f aca="false">IF(B1220&lt;18,"0-17",IF(B1220&lt;40,"18-39",IF(B1220&lt;60,"40-59","60+")))</f>
        <v>60+</v>
      </c>
      <c r="N1220" s="12" t="str">
        <f aca="false">IF(I1220&lt;=1,"0-1 days",IF(I1220&lt;=7,"2-7 days",IF(I1220&lt;=30,"8-30 days","&gt;30 days")))</f>
        <v>0-1 days</v>
      </c>
    </row>
    <row r="1221" customFormat="false" ht="15" hidden="false" customHeight="false" outlineLevel="0" collapsed="false">
      <c r="A1221" s="12" t="s">
        <v>1462</v>
      </c>
      <c r="B1221" s="12" t="n">
        <v>8</v>
      </c>
      <c r="C1221" s="12" t="s">
        <v>43</v>
      </c>
      <c r="D1221" s="12" t="s">
        <v>234</v>
      </c>
      <c r="E1221" s="12" t="s">
        <v>821</v>
      </c>
      <c r="F1221" s="12" t="s">
        <v>165</v>
      </c>
      <c r="G1221" s="12" t="s">
        <v>53</v>
      </c>
      <c r="H1221" s="12" t="s">
        <v>46</v>
      </c>
      <c r="I1221" s="12" t="n">
        <v>25</v>
      </c>
      <c r="J1221" s="12" t="s">
        <v>40</v>
      </c>
      <c r="K1221" s="12" t="s">
        <v>147</v>
      </c>
      <c r="L1221" s="12" t="str">
        <f aca="false">IF(OR(H1221="Severe",H1221="Life-Threatening"),"Yes","No")</f>
        <v>No</v>
      </c>
      <c r="M1221" s="12" t="str">
        <f aca="false">IF(B1221&lt;18,"0-17",IF(B1221&lt;40,"18-39",IF(B1221&lt;60,"40-59","60+")))</f>
        <v>0-17</v>
      </c>
      <c r="N1221" s="12" t="str">
        <f aca="false">IF(I1221&lt;=1,"0-1 days",IF(I1221&lt;=7,"2-7 days",IF(I1221&lt;=30,"8-30 days","&gt;30 days")))</f>
        <v>8-30 days</v>
      </c>
    </row>
    <row r="1222" customFormat="false" ht="15" hidden="false" customHeight="false" outlineLevel="0" collapsed="false">
      <c r="A1222" s="12" t="s">
        <v>1463</v>
      </c>
      <c r="B1222" s="12" t="n">
        <v>25</v>
      </c>
      <c r="C1222" s="12" t="s">
        <v>34</v>
      </c>
      <c r="D1222" s="12" t="s">
        <v>112</v>
      </c>
      <c r="E1222" s="12" t="s">
        <v>280</v>
      </c>
      <c r="F1222" s="12" t="s">
        <v>45</v>
      </c>
      <c r="G1222" s="12" t="s">
        <v>38</v>
      </c>
      <c r="H1222" s="12" t="s">
        <v>46</v>
      </c>
      <c r="I1222" s="12" t="n">
        <v>29</v>
      </c>
      <c r="J1222" s="12" t="s">
        <v>47</v>
      </c>
      <c r="K1222" s="12" t="s">
        <v>48</v>
      </c>
      <c r="L1222" s="12" t="str">
        <f aca="false">IF(OR(H1222="Severe",H1222="Life-Threatening"),"Yes","No")</f>
        <v>No</v>
      </c>
      <c r="M1222" s="12" t="str">
        <f aca="false">IF(B1222&lt;18,"0-17",IF(B1222&lt;40,"18-39",IF(B1222&lt;60,"40-59","60+")))</f>
        <v>18-39</v>
      </c>
      <c r="N1222" s="12" t="str">
        <f aca="false">IF(I1222&lt;=1,"0-1 days",IF(I1222&lt;=7,"2-7 days",IF(I1222&lt;=30,"8-30 days","&gt;30 days")))</f>
        <v>8-30 days</v>
      </c>
    </row>
    <row r="1223" customFormat="false" ht="15" hidden="false" customHeight="false" outlineLevel="0" collapsed="false">
      <c r="A1223" s="12" t="s">
        <v>1464</v>
      </c>
      <c r="B1223" s="12" t="n">
        <v>40</v>
      </c>
      <c r="C1223" s="12" t="s">
        <v>43</v>
      </c>
      <c r="D1223" s="12" t="s">
        <v>123</v>
      </c>
      <c r="E1223" s="12" t="s">
        <v>227</v>
      </c>
      <c r="F1223" s="12" t="s">
        <v>214</v>
      </c>
      <c r="G1223" s="12" t="s">
        <v>115</v>
      </c>
      <c r="H1223" s="12" t="s">
        <v>76</v>
      </c>
      <c r="I1223" s="12" t="n">
        <v>10</v>
      </c>
      <c r="J1223" s="12" t="s">
        <v>47</v>
      </c>
      <c r="K1223" s="12" t="s">
        <v>48</v>
      </c>
      <c r="L1223" s="12" t="str">
        <f aca="false">IF(OR(H1223="Severe",H1223="Life-Threatening"),"Yes","No")</f>
        <v>Yes</v>
      </c>
      <c r="M1223" s="12" t="str">
        <f aca="false">IF(B1223&lt;18,"0-17",IF(B1223&lt;40,"18-39",IF(B1223&lt;60,"40-59","60+")))</f>
        <v>40-59</v>
      </c>
      <c r="N1223" s="12" t="str">
        <f aca="false">IF(I1223&lt;=1,"0-1 days",IF(I1223&lt;=7,"2-7 days",IF(I1223&lt;=30,"8-30 days","&gt;30 days")))</f>
        <v>8-30 days</v>
      </c>
    </row>
    <row r="1224" customFormat="false" ht="15" hidden="false" customHeight="false" outlineLevel="0" collapsed="false">
      <c r="A1224" s="12" t="s">
        <v>1465</v>
      </c>
      <c r="B1224" s="12" t="n">
        <v>45</v>
      </c>
      <c r="C1224" s="12" t="s">
        <v>34</v>
      </c>
      <c r="D1224" s="12" t="s">
        <v>35</v>
      </c>
      <c r="E1224" s="12" t="s">
        <v>158</v>
      </c>
      <c r="F1224" s="12" t="s">
        <v>62</v>
      </c>
      <c r="G1224" s="12" t="s">
        <v>53</v>
      </c>
      <c r="H1224" s="12" t="s">
        <v>39</v>
      </c>
      <c r="I1224" s="12" t="n">
        <v>7</v>
      </c>
      <c r="J1224" s="12" t="s">
        <v>40</v>
      </c>
      <c r="K1224" s="12" t="s">
        <v>48</v>
      </c>
      <c r="L1224" s="12" t="str">
        <f aca="false">IF(OR(H1224="Severe",H1224="Life-Threatening"),"Yes","No")</f>
        <v>No</v>
      </c>
      <c r="M1224" s="12" t="str">
        <f aca="false">IF(B1224&lt;18,"0-17",IF(B1224&lt;40,"18-39",IF(B1224&lt;60,"40-59","60+")))</f>
        <v>40-59</v>
      </c>
      <c r="N1224" s="12" t="str">
        <f aca="false">IF(I1224&lt;=1,"0-1 days",IF(I1224&lt;=7,"2-7 days",IF(I1224&lt;=30,"8-30 days","&gt;30 days")))</f>
        <v>2-7 days</v>
      </c>
    </row>
    <row r="1225" customFormat="false" ht="15" hidden="false" customHeight="false" outlineLevel="0" collapsed="false">
      <c r="A1225" s="12" t="s">
        <v>1466</v>
      </c>
      <c r="B1225" s="12" t="n">
        <v>42</v>
      </c>
      <c r="C1225" s="12" t="s">
        <v>34</v>
      </c>
      <c r="D1225" s="12" t="s">
        <v>55</v>
      </c>
      <c r="E1225" s="12" t="s">
        <v>266</v>
      </c>
      <c r="F1225" s="12" t="s">
        <v>103</v>
      </c>
      <c r="G1225" s="12" t="s">
        <v>104</v>
      </c>
      <c r="H1225" s="12" t="s">
        <v>76</v>
      </c>
      <c r="I1225" s="12" t="n">
        <v>31</v>
      </c>
      <c r="J1225" s="12" t="s">
        <v>40</v>
      </c>
      <c r="K1225" s="12" t="s">
        <v>63</v>
      </c>
      <c r="L1225" s="12" t="str">
        <f aca="false">IF(OR(H1225="Severe",H1225="Life-Threatening"),"Yes","No")</f>
        <v>Yes</v>
      </c>
      <c r="M1225" s="12" t="str">
        <f aca="false">IF(B1225&lt;18,"0-17",IF(B1225&lt;40,"18-39",IF(B1225&lt;60,"40-59","60+")))</f>
        <v>40-59</v>
      </c>
      <c r="N1225" s="12" t="str">
        <f aca="false">IF(I1225&lt;=1,"0-1 days",IF(I1225&lt;=7,"2-7 days",IF(I1225&lt;=30,"8-30 days","&gt;30 days")))</f>
        <v>&gt;30 days</v>
      </c>
    </row>
    <row r="1226" customFormat="false" ht="15" hidden="false" customHeight="false" outlineLevel="0" collapsed="false">
      <c r="A1226" s="12" t="s">
        <v>1467</v>
      </c>
      <c r="B1226" s="12" t="n">
        <v>33</v>
      </c>
      <c r="C1226" s="12" t="s">
        <v>34</v>
      </c>
      <c r="D1226" s="12" t="s">
        <v>35</v>
      </c>
      <c r="E1226" s="12" t="s">
        <v>243</v>
      </c>
      <c r="F1226" s="12" t="s">
        <v>45</v>
      </c>
      <c r="G1226" s="12" t="s">
        <v>38</v>
      </c>
      <c r="H1226" s="12" t="s">
        <v>46</v>
      </c>
      <c r="I1226" s="12" t="n">
        <v>9</v>
      </c>
      <c r="J1226" s="12" t="s">
        <v>40</v>
      </c>
      <c r="K1226" s="12" t="s">
        <v>48</v>
      </c>
      <c r="L1226" s="12" t="str">
        <f aca="false">IF(OR(H1226="Severe",H1226="Life-Threatening"),"Yes","No")</f>
        <v>No</v>
      </c>
      <c r="M1226" s="12" t="str">
        <f aca="false">IF(B1226&lt;18,"0-17",IF(B1226&lt;40,"18-39",IF(B1226&lt;60,"40-59","60+")))</f>
        <v>18-39</v>
      </c>
      <c r="N1226" s="12" t="str">
        <f aca="false">IF(I1226&lt;=1,"0-1 days",IF(I1226&lt;=7,"2-7 days",IF(I1226&lt;=30,"8-30 days","&gt;30 days")))</f>
        <v>8-30 days</v>
      </c>
    </row>
    <row r="1227" customFormat="false" ht="15" hidden="false" customHeight="false" outlineLevel="0" collapsed="false">
      <c r="A1227" s="12" t="s">
        <v>1468</v>
      </c>
      <c r="B1227" s="12" t="n">
        <v>92</v>
      </c>
      <c r="C1227" s="12" t="s">
        <v>34</v>
      </c>
      <c r="D1227" s="12" t="s">
        <v>35</v>
      </c>
      <c r="E1227" s="12" t="s">
        <v>92</v>
      </c>
      <c r="F1227" s="12" t="s">
        <v>171</v>
      </c>
      <c r="G1227" s="12" t="s">
        <v>53</v>
      </c>
      <c r="H1227" s="12" t="s">
        <v>76</v>
      </c>
      <c r="I1227" s="12" t="n">
        <v>11</v>
      </c>
      <c r="J1227" s="12" t="s">
        <v>40</v>
      </c>
      <c r="K1227" s="12" t="s">
        <v>48</v>
      </c>
      <c r="L1227" s="12" t="str">
        <f aca="false">IF(OR(H1227="Severe",H1227="Life-Threatening"),"Yes","No")</f>
        <v>Yes</v>
      </c>
      <c r="M1227" s="12" t="str">
        <f aca="false">IF(B1227&lt;18,"0-17",IF(B1227&lt;40,"18-39",IF(B1227&lt;60,"40-59","60+")))</f>
        <v>60+</v>
      </c>
      <c r="N1227" s="12" t="str">
        <f aca="false">IF(I1227&lt;=1,"0-1 days",IF(I1227&lt;=7,"2-7 days",IF(I1227&lt;=30,"8-30 days","&gt;30 days")))</f>
        <v>8-30 days</v>
      </c>
    </row>
    <row r="1228" customFormat="false" ht="15" hidden="false" customHeight="false" outlineLevel="0" collapsed="false">
      <c r="A1228" s="12" t="s">
        <v>1469</v>
      </c>
      <c r="B1228" s="12" t="n">
        <v>41</v>
      </c>
      <c r="C1228" s="12" t="s">
        <v>34</v>
      </c>
      <c r="D1228" s="12" t="s">
        <v>69</v>
      </c>
      <c r="E1228" s="12" t="s">
        <v>266</v>
      </c>
      <c r="F1228" s="12" t="s">
        <v>103</v>
      </c>
      <c r="G1228" s="12" t="s">
        <v>104</v>
      </c>
      <c r="H1228" s="12" t="s">
        <v>46</v>
      </c>
      <c r="I1228" s="12" t="n">
        <v>34</v>
      </c>
      <c r="J1228" s="12" t="s">
        <v>40</v>
      </c>
      <c r="K1228" s="12" t="s">
        <v>63</v>
      </c>
      <c r="L1228" s="12" t="str">
        <f aca="false">IF(OR(H1228="Severe",H1228="Life-Threatening"),"Yes","No")</f>
        <v>No</v>
      </c>
      <c r="M1228" s="12" t="str">
        <f aca="false">IF(B1228&lt;18,"0-17",IF(B1228&lt;40,"18-39",IF(B1228&lt;60,"40-59","60+")))</f>
        <v>40-59</v>
      </c>
      <c r="N1228" s="12" t="str">
        <f aca="false">IF(I1228&lt;=1,"0-1 days",IF(I1228&lt;=7,"2-7 days",IF(I1228&lt;=30,"8-30 days","&gt;30 days")))</f>
        <v>&gt;30 days</v>
      </c>
    </row>
    <row r="1229" customFormat="false" ht="15" hidden="false" customHeight="false" outlineLevel="0" collapsed="false">
      <c r="A1229" s="12" t="s">
        <v>1470</v>
      </c>
      <c r="B1229" s="12" t="n">
        <v>55</v>
      </c>
      <c r="C1229" s="12" t="s">
        <v>34</v>
      </c>
      <c r="D1229" s="12" t="s">
        <v>69</v>
      </c>
      <c r="E1229" s="12" t="s">
        <v>280</v>
      </c>
      <c r="F1229" s="12" t="s">
        <v>45</v>
      </c>
      <c r="G1229" s="12" t="s">
        <v>38</v>
      </c>
      <c r="H1229" s="12" t="s">
        <v>39</v>
      </c>
      <c r="I1229" s="12" t="n">
        <v>3</v>
      </c>
      <c r="J1229" s="12" t="s">
        <v>40</v>
      </c>
      <c r="K1229" s="12" t="s">
        <v>48</v>
      </c>
      <c r="L1229" s="12" t="str">
        <f aca="false">IF(OR(H1229="Severe",H1229="Life-Threatening"),"Yes","No")</f>
        <v>No</v>
      </c>
      <c r="M1229" s="12" t="str">
        <f aca="false">IF(B1229&lt;18,"0-17",IF(B1229&lt;40,"18-39",IF(B1229&lt;60,"40-59","60+")))</f>
        <v>40-59</v>
      </c>
      <c r="N1229" s="12" t="str">
        <f aca="false">IF(I1229&lt;=1,"0-1 days",IF(I1229&lt;=7,"2-7 days",IF(I1229&lt;=30,"8-30 days","&gt;30 days")))</f>
        <v>2-7 days</v>
      </c>
    </row>
    <row r="1230" customFormat="false" ht="15" hidden="false" customHeight="false" outlineLevel="0" collapsed="false">
      <c r="A1230" s="12" t="s">
        <v>1471</v>
      </c>
      <c r="B1230" s="12" t="n">
        <v>40</v>
      </c>
      <c r="C1230" s="12" t="s">
        <v>34</v>
      </c>
      <c r="D1230" s="12" t="s">
        <v>88</v>
      </c>
      <c r="E1230" s="12" t="s">
        <v>272</v>
      </c>
      <c r="F1230" s="12" t="s">
        <v>214</v>
      </c>
      <c r="G1230" s="12" t="s">
        <v>115</v>
      </c>
      <c r="H1230" s="12" t="s">
        <v>39</v>
      </c>
      <c r="I1230" s="12" t="n">
        <v>26</v>
      </c>
      <c r="J1230" s="12" t="s">
        <v>40</v>
      </c>
      <c r="K1230" s="12" t="s">
        <v>48</v>
      </c>
      <c r="L1230" s="12" t="str">
        <f aca="false">IF(OR(H1230="Severe",H1230="Life-Threatening"),"Yes","No")</f>
        <v>No</v>
      </c>
      <c r="M1230" s="12" t="str">
        <f aca="false">IF(B1230&lt;18,"0-17",IF(B1230&lt;40,"18-39",IF(B1230&lt;60,"40-59","60+")))</f>
        <v>40-59</v>
      </c>
      <c r="N1230" s="12" t="str">
        <f aca="false">IF(I1230&lt;=1,"0-1 days",IF(I1230&lt;=7,"2-7 days",IF(I1230&lt;=30,"8-30 days","&gt;30 days")))</f>
        <v>8-30 days</v>
      </c>
    </row>
    <row r="1231" customFormat="false" ht="15" hidden="false" customHeight="false" outlineLevel="0" collapsed="false">
      <c r="A1231" s="12" t="s">
        <v>1472</v>
      </c>
      <c r="B1231" s="12" t="n">
        <v>18</v>
      </c>
      <c r="C1231" s="12" t="s">
        <v>43</v>
      </c>
      <c r="D1231" s="12" t="s">
        <v>35</v>
      </c>
      <c r="E1231" s="12" t="s">
        <v>241</v>
      </c>
      <c r="F1231" s="12" t="s">
        <v>333</v>
      </c>
      <c r="G1231" s="12" t="s">
        <v>104</v>
      </c>
      <c r="H1231" s="12" t="s">
        <v>39</v>
      </c>
      <c r="I1231" s="12" t="n">
        <v>29</v>
      </c>
      <c r="J1231" s="12" t="s">
        <v>67</v>
      </c>
      <c r="K1231" s="12" t="s">
        <v>48</v>
      </c>
      <c r="L1231" s="12" t="str">
        <f aca="false">IF(OR(H1231="Severe",H1231="Life-Threatening"),"Yes","No")</f>
        <v>No</v>
      </c>
      <c r="M1231" s="12" t="str">
        <f aca="false">IF(B1231&lt;18,"0-17",IF(B1231&lt;40,"18-39",IF(B1231&lt;60,"40-59","60+")))</f>
        <v>18-39</v>
      </c>
      <c r="N1231" s="12" t="str">
        <f aca="false">IF(I1231&lt;=1,"0-1 days",IF(I1231&lt;=7,"2-7 days",IF(I1231&lt;=30,"8-30 days","&gt;30 days")))</f>
        <v>8-30 days</v>
      </c>
    </row>
    <row r="1232" customFormat="false" ht="15" hidden="false" customHeight="false" outlineLevel="0" collapsed="false">
      <c r="A1232" s="12" t="s">
        <v>1473</v>
      </c>
      <c r="B1232" s="12" t="n">
        <v>51</v>
      </c>
      <c r="C1232" s="12" t="s">
        <v>34</v>
      </c>
      <c r="D1232" s="12" t="s">
        <v>155</v>
      </c>
      <c r="E1232" s="12" t="s">
        <v>78</v>
      </c>
      <c r="F1232" s="12" t="s">
        <v>79</v>
      </c>
      <c r="G1232" s="12" t="s">
        <v>80</v>
      </c>
      <c r="H1232" s="12" t="s">
        <v>76</v>
      </c>
      <c r="I1232" s="12" t="n">
        <v>10</v>
      </c>
      <c r="J1232" s="12" t="s">
        <v>67</v>
      </c>
      <c r="K1232" s="12" t="s">
        <v>63</v>
      </c>
      <c r="L1232" s="12" t="str">
        <f aca="false">IF(OR(H1232="Severe",H1232="Life-Threatening"),"Yes","No")</f>
        <v>Yes</v>
      </c>
      <c r="M1232" s="12" t="str">
        <f aca="false">IF(B1232&lt;18,"0-17",IF(B1232&lt;40,"18-39",IF(B1232&lt;60,"40-59","60+")))</f>
        <v>40-59</v>
      </c>
      <c r="N1232" s="12" t="str">
        <f aca="false">IF(I1232&lt;=1,"0-1 days",IF(I1232&lt;=7,"2-7 days",IF(I1232&lt;=30,"8-30 days","&gt;30 days")))</f>
        <v>8-30 days</v>
      </c>
    </row>
    <row r="1233" customFormat="false" ht="15" hidden="false" customHeight="false" outlineLevel="0" collapsed="false">
      <c r="A1233" s="12" t="s">
        <v>1474</v>
      </c>
      <c r="B1233" s="12" t="n">
        <v>72</v>
      </c>
      <c r="C1233" s="12" t="s">
        <v>43</v>
      </c>
      <c r="D1233" s="12" t="s">
        <v>126</v>
      </c>
      <c r="E1233" s="12" t="s">
        <v>51</v>
      </c>
      <c r="F1233" s="12" t="s">
        <v>145</v>
      </c>
      <c r="G1233" s="12" t="s">
        <v>146</v>
      </c>
      <c r="H1233" s="12" t="s">
        <v>59</v>
      </c>
      <c r="I1233" s="12" t="n">
        <v>6</v>
      </c>
      <c r="J1233" s="12" t="s">
        <v>105</v>
      </c>
      <c r="K1233" s="12" t="s">
        <v>48</v>
      </c>
      <c r="L1233" s="12" t="str">
        <f aca="false">IF(OR(H1233="Severe",H1233="Life-Threatening"),"Yes","No")</f>
        <v>Yes</v>
      </c>
      <c r="M1233" s="12" t="str">
        <f aca="false">IF(B1233&lt;18,"0-17",IF(B1233&lt;40,"18-39",IF(B1233&lt;60,"40-59","60+")))</f>
        <v>60+</v>
      </c>
      <c r="N1233" s="12" t="str">
        <f aca="false">IF(I1233&lt;=1,"0-1 days",IF(I1233&lt;=7,"2-7 days",IF(I1233&lt;=30,"8-30 days","&gt;30 days")))</f>
        <v>2-7 days</v>
      </c>
    </row>
    <row r="1234" customFormat="false" ht="15" hidden="false" customHeight="false" outlineLevel="0" collapsed="false">
      <c r="A1234" s="12" t="s">
        <v>1475</v>
      </c>
      <c r="B1234" s="12" t="n">
        <v>86</v>
      </c>
      <c r="C1234" s="12" t="s">
        <v>34</v>
      </c>
      <c r="D1234" s="12" t="s">
        <v>55</v>
      </c>
      <c r="E1234" s="12" t="s">
        <v>324</v>
      </c>
      <c r="F1234" s="12" t="s">
        <v>325</v>
      </c>
      <c r="G1234" s="12" t="s">
        <v>177</v>
      </c>
      <c r="H1234" s="12" t="s">
        <v>39</v>
      </c>
      <c r="I1234" s="12" t="n">
        <v>29</v>
      </c>
      <c r="J1234" s="12" t="s">
        <v>40</v>
      </c>
      <c r="K1234" s="12" t="s">
        <v>63</v>
      </c>
      <c r="L1234" s="12" t="str">
        <f aca="false">IF(OR(H1234="Severe",H1234="Life-Threatening"),"Yes","No")</f>
        <v>No</v>
      </c>
      <c r="M1234" s="12" t="str">
        <f aca="false">IF(B1234&lt;18,"0-17",IF(B1234&lt;40,"18-39",IF(B1234&lt;60,"40-59","60+")))</f>
        <v>60+</v>
      </c>
      <c r="N1234" s="12" t="str">
        <f aca="false">IF(I1234&lt;=1,"0-1 days",IF(I1234&lt;=7,"2-7 days",IF(I1234&lt;=30,"8-30 days","&gt;30 days")))</f>
        <v>8-30 days</v>
      </c>
    </row>
    <row r="1235" customFormat="false" ht="15" hidden="false" customHeight="false" outlineLevel="0" collapsed="false">
      <c r="A1235" s="12" t="s">
        <v>1476</v>
      </c>
      <c r="B1235" s="12" t="n">
        <v>31</v>
      </c>
      <c r="C1235" s="12" t="s">
        <v>34</v>
      </c>
      <c r="D1235" s="12" t="s">
        <v>190</v>
      </c>
      <c r="E1235" s="12" t="s">
        <v>156</v>
      </c>
      <c r="F1235" s="12" t="s">
        <v>221</v>
      </c>
      <c r="G1235" s="12" t="s">
        <v>94</v>
      </c>
      <c r="H1235" s="12" t="s">
        <v>59</v>
      </c>
      <c r="I1235" s="12" t="n">
        <v>1</v>
      </c>
      <c r="J1235" s="12" t="s">
        <v>47</v>
      </c>
      <c r="K1235" s="12" t="s">
        <v>63</v>
      </c>
      <c r="L1235" s="12" t="str">
        <f aca="false">IF(OR(H1235="Severe",H1235="Life-Threatening"),"Yes","No")</f>
        <v>Yes</v>
      </c>
      <c r="M1235" s="12" t="str">
        <f aca="false">IF(B1235&lt;18,"0-17",IF(B1235&lt;40,"18-39",IF(B1235&lt;60,"40-59","60+")))</f>
        <v>18-39</v>
      </c>
      <c r="N1235" s="12" t="str">
        <f aca="false">IF(I1235&lt;=1,"0-1 days",IF(I1235&lt;=7,"2-7 days",IF(I1235&lt;=30,"8-30 days","&gt;30 days")))</f>
        <v>0-1 days</v>
      </c>
    </row>
    <row r="1236" customFormat="false" ht="15" hidden="false" customHeight="false" outlineLevel="0" collapsed="false">
      <c r="A1236" s="12" t="s">
        <v>1477</v>
      </c>
      <c r="B1236" s="12" t="n">
        <v>22</v>
      </c>
      <c r="C1236" s="12" t="s">
        <v>34</v>
      </c>
      <c r="D1236" s="12" t="s">
        <v>194</v>
      </c>
      <c r="E1236" s="12" t="s">
        <v>158</v>
      </c>
      <c r="F1236" s="12" t="s">
        <v>62</v>
      </c>
      <c r="G1236" s="12" t="s">
        <v>53</v>
      </c>
      <c r="H1236" s="12" t="s">
        <v>46</v>
      </c>
      <c r="I1236" s="12" t="n">
        <v>7</v>
      </c>
      <c r="J1236" s="12" t="s">
        <v>40</v>
      </c>
      <c r="K1236" s="12" t="s">
        <v>63</v>
      </c>
      <c r="L1236" s="12" t="str">
        <f aca="false">IF(OR(H1236="Severe",H1236="Life-Threatening"),"Yes","No")</f>
        <v>No</v>
      </c>
      <c r="M1236" s="12" t="str">
        <f aca="false">IF(B1236&lt;18,"0-17",IF(B1236&lt;40,"18-39",IF(B1236&lt;60,"40-59","60+")))</f>
        <v>18-39</v>
      </c>
      <c r="N1236" s="12" t="str">
        <f aca="false">IF(I1236&lt;=1,"0-1 days",IF(I1236&lt;=7,"2-7 days",IF(I1236&lt;=30,"8-30 days","&gt;30 days")))</f>
        <v>2-7 days</v>
      </c>
    </row>
    <row r="1237" customFormat="false" ht="15" hidden="false" customHeight="false" outlineLevel="0" collapsed="false">
      <c r="A1237" s="12" t="s">
        <v>1478</v>
      </c>
      <c r="B1237" s="12" t="n">
        <v>56</v>
      </c>
      <c r="C1237" s="12" t="s">
        <v>43</v>
      </c>
      <c r="D1237" s="12" t="s">
        <v>123</v>
      </c>
      <c r="E1237" s="12" t="s">
        <v>181</v>
      </c>
      <c r="F1237" s="12" t="s">
        <v>506</v>
      </c>
      <c r="G1237" s="12" t="s">
        <v>94</v>
      </c>
      <c r="H1237" s="12" t="s">
        <v>39</v>
      </c>
      <c r="I1237" s="12" t="n">
        <v>10</v>
      </c>
      <c r="J1237" s="12" t="s">
        <v>67</v>
      </c>
      <c r="K1237" s="12" t="s">
        <v>63</v>
      </c>
      <c r="L1237" s="12" t="str">
        <f aca="false">IF(OR(H1237="Severe",H1237="Life-Threatening"),"Yes","No")</f>
        <v>No</v>
      </c>
      <c r="M1237" s="12" t="str">
        <f aca="false">IF(B1237&lt;18,"0-17",IF(B1237&lt;40,"18-39",IF(B1237&lt;60,"40-59","60+")))</f>
        <v>40-59</v>
      </c>
      <c r="N1237" s="12" t="str">
        <f aca="false">IF(I1237&lt;=1,"0-1 days",IF(I1237&lt;=7,"2-7 days",IF(I1237&lt;=30,"8-30 days","&gt;30 days")))</f>
        <v>8-30 days</v>
      </c>
    </row>
    <row r="1238" customFormat="false" ht="15" hidden="false" customHeight="false" outlineLevel="0" collapsed="false">
      <c r="A1238" s="12" t="s">
        <v>1479</v>
      </c>
      <c r="B1238" s="12" t="n">
        <v>22</v>
      </c>
      <c r="C1238" s="12" t="s">
        <v>43</v>
      </c>
      <c r="D1238" s="12" t="s">
        <v>35</v>
      </c>
      <c r="E1238" s="12" t="s">
        <v>538</v>
      </c>
      <c r="F1238" s="12" t="s">
        <v>45</v>
      </c>
      <c r="G1238" s="12" t="s">
        <v>38</v>
      </c>
      <c r="H1238" s="12" t="s">
        <v>46</v>
      </c>
      <c r="I1238" s="12" t="n">
        <v>3</v>
      </c>
      <c r="J1238" s="12" t="s">
        <v>40</v>
      </c>
      <c r="K1238" s="12" t="s">
        <v>63</v>
      </c>
      <c r="L1238" s="12" t="str">
        <f aca="false">IF(OR(H1238="Severe",H1238="Life-Threatening"),"Yes","No")</f>
        <v>No</v>
      </c>
      <c r="M1238" s="12" t="str">
        <f aca="false">IF(B1238&lt;18,"0-17",IF(B1238&lt;40,"18-39",IF(B1238&lt;60,"40-59","60+")))</f>
        <v>18-39</v>
      </c>
      <c r="N1238" s="12" t="str">
        <f aca="false">IF(I1238&lt;=1,"0-1 days",IF(I1238&lt;=7,"2-7 days",IF(I1238&lt;=30,"8-30 days","&gt;30 days")))</f>
        <v>2-7 days</v>
      </c>
    </row>
    <row r="1239" customFormat="false" ht="15" hidden="false" customHeight="false" outlineLevel="0" collapsed="false">
      <c r="A1239" s="12" t="s">
        <v>1480</v>
      </c>
      <c r="B1239" s="12" t="n">
        <v>88</v>
      </c>
      <c r="C1239" s="12" t="s">
        <v>34</v>
      </c>
      <c r="D1239" s="12" t="s">
        <v>50</v>
      </c>
      <c r="E1239" s="12" t="s">
        <v>376</v>
      </c>
      <c r="F1239" s="12" t="s">
        <v>62</v>
      </c>
      <c r="G1239" s="12" t="s">
        <v>53</v>
      </c>
      <c r="H1239" s="12" t="s">
        <v>46</v>
      </c>
      <c r="I1239" s="12" t="n">
        <v>14</v>
      </c>
      <c r="J1239" s="12" t="s">
        <v>40</v>
      </c>
      <c r="K1239" s="12" t="s">
        <v>63</v>
      </c>
      <c r="L1239" s="12" t="str">
        <f aca="false">IF(OR(H1239="Severe",H1239="Life-Threatening"),"Yes","No")</f>
        <v>No</v>
      </c>
      <c r="M1239" s="12" t="str">
        <f aca="false">IF(B1239&lt;18,"0-17",IF(B1239&lt;40,"18-39",IF(B1239&lt;60,"40-59","60+")))</f>
        <v>60+</v>
      </c>
      <c r="N1239" s="12" t="str">
        <f aca="false">IF(I1239&lt;=1,"0-1 days",IF(I1239&lt;=7,"2-7 days",IF(I1239&lt;=30,"8-30 days","&gt;30 days")))</f>
        <v>8-30 days</v>
      </c>
    </row>
    <row r="1240" customFormat="false" ht="15" hidden="false" customHeight="false" outlineLevel="0" collapsed="false">
      <c r="A1240" s="12" t="s">
        <v>1481</v>
      </c>
      <c r="B1240" s="12" t="n">
        <v>53</v>
      </c>
      <c r="C1240" s="12" t="s">
        <v>34</v>
      </c>
      <c r="D1240" s="12" t="s">
        <v>35</v>
      </c>
      <c r="E1240" s="12" t="s">
        <v>51</v>
      </c>
      <c r="F1240" s="12" t="s">
        <v>145</v>
      </c>
      <c r="G1240" s="12" t="s">
        <v>146</v>
      </c>
      <c r="H1240" s="12" t="s">
        <v>59</v>
      </c>
      <c r="I1240" s="12" t="n">
        <v>14</v>
      </c>
      <c r="J1240" s="12" t="s">
        <v>47</v>
      </c>
      <c r="K1240" s="12" t="s">
        <v>41</v>
      </c>
      <c r="L1240" s="12" t="str">
        <f aca="false">IF(OR(H1240="Severe",H1240="Life-Threatening"),"Yes","No")</f>
        <v>Yes</v>
      </c>
      <c r="M1240" s="12" t="str">
        <f aca="false">IF(B1240&lt;18,"0-17",IF(B1240&lt;40,"18-39",IF(B1240&lt;60,"40-59","60+")))</f>
        <v>40-59</v>
      </c>
      <c r="N1240" s="12" t="str">
        <f aca="false">IF(I1240&lt;=1,"0-1 days",IF(I1240&lt;=7,"2-7 days",IF(I1240&lt;=30,"8-30 days","&gt;30 days")))</f>
        <v>8-30 days</v>
      </c>
    </row>
    <row r="1241" customFormat="false" ht="15" hidden="false" customHeight="false" outlineLevel="0" collapsed="false">
      <c r="A1241" s="12" t="s">
        <v>1482</v>
      </c>
      <c r="B1241" s="12" t="n">
        <v>66</v>
      </c>
      <c r="C1241" s="12" t="s">
        <v>43</v>
      </c>
      <c r="D1241" s="12" t="s">
        <v>35</v>
      </c>
      <c r="E1241" s="12" t="s">
        <v>374</v>
      </c>
      <c r="F1241" s="12" t="s">
        <v>235</v>
      </c>
      <c r="G1241" s="12" t="s">
        <v>53</v>
      </c>
      <c r="H1241" s="12" t="s">
        <v>39</v>
      </c>
      <c r="I1241" s="12" t="n">
        <v>19</v>
      </c>
      <c r="J1241" s="12" t="s">
        <v>40</v>
      </c>
      <c r="K1241" s="12" t="s">
        <v>41</v>
      </c>
      <c r="L1241" s="12" t="str">
        <f aca="false">IF(OR(H1241="Severe",H1241="Life-Threatening"),"Yes","No")</f>
        <v>No</v>
      </c>
      <c r="M1241" s="12" t="str">
        <f aca="false">IF(B1241&lt;18,"0-17",IF(B1241&lt;40,"18-39",IF(B1241&lt;60,"40-59","60+")))</f>
        <v>60+</v>
      </c>
      <c r="N1241" s="12" t="str">
        <f aca="false">IF(I1241&lt;=1,"0-1 days",IF(I1241&lt;=7,"2-7 days",IF(I1241&lt;=30,"8-30 days","&gt;30 days")))</f>
        <v>8-30 days</v>
      </c>
    </row>
    <row r="1242" customFormat="false" ht="15" hidden="false" customHeight="false" outlineLevel="0" collapsed="false">
      <c r="A1242" s="12" t="s">
        <v>1483</v>
      </c>
      <c r="B1242" s="12" t="n">
        <v>57</v>
      </c>
      <c r="C1242" s="12" t="s">
        <v>34</v>
      </c>
      <c r="D1242" s="12" t="s">
        <v>55</v>
      </c>
      <c r="E1242" s="12" t="s">
        <v>407</v>
      </c>
      <c r="F1242" s="12" t="s">
        <v>176</v>
      </c>
      <c r="G1242" s="12" t="s">
        <v>177</v>
      </c>
      <c r="H1242" s="12" t="s">
        <v>76</v>
      </c>
      <c r="I1242" s="12" t="n">
        <v>7</v>
      </c>
      <c r="J1242" s="12" t="s">
        <v>47</v>
      </c>
      <c r="K1242" s="12" t="s">
        <v>63</v>
      </c>
      <c r="L1242" s="12" t="str">
        <f aca="false">IF(OR(H1242="Severe",H1242="Life-Threatening"),"Yes","No")</f>
        <v>Yes</v>
      </c>
      <c r="M1242" s="12" t="str">
        <f aca="false">IF(B1242&lt;18,"0-17",IF(B1242&lt;40,"18-39",IF(B1242&lt;60,"40-59","60+")))</f>
        <v>40-59</v>
      </c>
      <c r="N1242" s="12" t="str">
        <f aca="false">IF(I1242&lt;=1,"0-1 days",IF(I1242&lt;=7,"2-7 days",IF(I1242&lt;=30,"8-30 days","&gt;30 days")))</f>
        <v>2-7 days</v>
      </c>
    </row>
    <row r="1243" customFormat="false" ht="15" hidden="false" customHeight="false" outlineLevel="0" collapsed="false">
      <c r="A1243" s="12" t="s">
        <v>1484</v>
      </c>
      <c r="B1243" s="12" t="n">
        <v>25</v>
      </c>
      <c r="C1243" s="12" t="s">
        <v>43</v>
      </c>
      <c r="D1243" s="12" t="s">
        <v>202</v>
      </c>
      <c r="E1243" s="12" t="s">
        <v>183</v>
      </c>
      <c r="F1243" s="12" t="s">
        <v>325</v>
      </c>
      <c r="G1243" s="12" t="s">
        <v>177</v>
      </c>
      <c r="H1243" s="12" t="s">
        <v>59</v>
      </c>
      <c r="I1243" s="12" t="n">
        <v>8</v>
      </c>
      <c r="J1243" s="12" t="s">
        <v>40</v>
      </c>
      <c r="K1243" s="12" t="s">
        <v>63</v>
      </c>
      <c r="L1243" s="12" t="str">
        <f aca="false">IF(OR(H1243="Severe",H1243="Life-Threatening"),"Yes","No")</f>
        <v>Yes</v>
      </c>
      <c r="M1243" s="12" t="str">
        <f aca="false">IF(B1243&lt;18,"0-17",IF(B1243&lt;40,"18-39",IF(B1243&lt;60,"40-59","60+")))</f>
        <v>18-39</v>
      </c>
      <c r="N1243" s="12" t="str">
        <f aca="false">IF(I1243&lt;=1,"0-1 days",IF(I1243&lt;=7,"2-7 days",IF(I1243&lt;=30,"8-30 days","&gt;30 days")))</f>
        <v>8-30 days</v>
      </c>
    </row>
    <row r="1244" customFormat="false" ht="15" hidden="false" customHeight="false" outlineLevel="0" collapsed="false">
      <c r="A1244" s="12" t="s">
        <v>1485</v>
      </c>
      <c r="B1244" s="12" t="n">
        <v>26</v>
      </c>
      <c r="C1244" s="12" t="s">
        <v>43</v>
      </c>
      <c r="D1244" s="12" t="s">
        <v>102</v>
      </c>
      <c r="E1244" s="12" t="s">
        <v>175</v>
      </c>
      <c r="F1244" s="12" t="s">
        <v>371</v>
      </c>
      <c r="G1244" s="12" t="s">
        <v>72</v>
      </c>
      <c r="H1244" s="12" t="s">
        <v>59</v>
      </c>
      <c r="I1244" s="12" t="n">
        <v>23</v>
      </c>
      <c r="J1244" s="12" t="s">
        <v>67</v>
      </c>
      <c r="K1244" s="12" t="s">
        <v>63</v>
      </c>
      <c r="L1244" s="12" t="str">
        <f aca="false">IF(OR(H1244="Severe",H1244="Life-Threatening"),"Yes","No")</f>
        <v>Yes</v>
      </c>
      <c r="M1244" s="12" t="str">
        <f aca="false">IF(B1244&lt;18,"0-17",IF(B1244&lt;40,"18-39",IF(B1244&lt;60,"40-59","60+")))</f>
        <v>18-39</v>
      </c>
      <c r="N1244" s="12" t="str">
        <f aca="false">IF(I1244&lt;=1,"0-1 days",IF(I1244&lt;=7,"2-7 days",IF(I1244&lt;=30,"8-30 days","&gt;30 days")))</f>
        <v>8-30 days</v>
      </c>
    </row>
    <row r="1245" customFormat="false" ht="15" hidden="false" customHeight="false" outlineLevel="0" collapsed="false">
      <c r="A1245" s="12" t="s">
        <v>1486</v>
      </c>
      <c r="B1245" s="12" t="n">
        <v>42</v>
      </c>
      <c r="C1245" s="12" t="s">
        <v>34</v>
      </c>
      <c r="D1245" s="12" t="s">
        <v>327</v>
      </c>
      <c r="E1245" s="12" t="s">
        <v>374</v>
      </c>
      <c r="F1245" s="12" t="s">
        <v>325</v>
      </c>
      <c r="G1245" s="12" t="s">
        <v>177</v>
      </c>
      <c r="H1245" s="12" t="s">
        <v>76</v>
      </c>
      <c r="I1245" s="12" t="n">
        <v>16</v>
      </c>
      <c r="J1245" s="12" t="s">
        <v>40</v>
      </c>
      <c r="K1245" s="12" t="s">
        <v>63</v>
      </c>
      <c r="L1245" s="12" t="str">
        <f aca="false">IF(OR(H1245="Severe",H1245="Life-Threatening"),"Yes","No")</f>
        <v>Yes</v>
      </c>
      <c r="M1245" s="12" t="str">
        <f aca="false">IF(B1245&lt;18,"0-17",IF(B1245&lt;40,"18-39",IF(B1245&lt;60,"40-59","60+")))</f>
        <v>40-59</v>
      </c>
      <c r="N1245" s="12" t="str">
        <f aca="false">IF(I1245&lt;=1,"0-1 days",IF(I1245&lt;=7,"2-7 days",IF(I1245&lt;=30,"8-30 days","&gt;30 days")))</f>
        <v>8-30 days</v>
      </c>
    </row>
    <row r="1246" customFormat="false" ht="15" hidden="false" customHeight="false" outlineLevel="0" collapsed="false">
      <c r="A1246" s="12" t="s">
        <v>1487</v>
      </c>
      <c r="B1246" s="12" t="n">
        <v>44</v>
      </c>
      <c r="C1246" s="12" t="s">
        <v>43</v>
      </c>
      <c r="D1246" s="12" t="s">
        <v>69</v>
      </c>
      <c r="E1246" s="12" t="s">
        <v>213</v>
      </c>
      <c r="F1246" s="12" t="s">
        <v>214</v>
      </c>
      <c r="G1246" s="12" t="s">
        <v>115</v>
      </c>
      <c r="H1246" s="12" t="s">
        <v>76</v>
      </c>
      <c r="I1246" s="12" t="n">
        <v>26</v>
      </c>
      <c r="J1246" s="12" t="s">
        <v>40</v>
      </c>
      <c r="K1246" s="12" t="s">
        <v>63</v>
      </c>
      <c r="L1246" s="12" t="str">
        <f aca="false">IF(OR(H1246="Severe",H1246="Life-Threatening"),"Yes","No")</f>
        <v>Yes</v>
      </c>
      <c r="M1246" s="12" t="str">
        <f aca="false">IF(B1246&lt;18,"0-17",IF(B1246&lt;40,"18-39",IF(B1246&lt;60,"40-59","60+")))</f>
        <v>40-59</v>
      </c>
      <c r="N1246" s="12" t="str">
        <f aca="false">IF(I1246&lt;=1,"0-1 days",IF(I1246&lt;=7,"2-7 days",IF(I1246&lt;=30,"8-30 days","&gt;30 days")))</f>
        <v>8-30 days</v>
      </c>
    </row>
    <row r="1247" customFormat="false" ht="15" hidden="false" customHeight="false" outlineLevel="0" collapsed="false">
      <c r="A1247" s="12" t="s">
        <v>1488</v>
      </c>
      <c r="B1247" s="12" t="n">
        <v>36</v>
      </c>
      <c r="C1247" s="12" t="s">
        <v>43</v>
      </c>
      <c r="D1247" s="12" t="s">
        <v>35</v>
      </c>
      <c r="E1247" s="12" t="s">
        <v>173</v>
      </c>
      <c r="F1247" s="12" t="s">
        <v>131</v>
      </c>
      <c r="G1247" s="12" t="s">
        <v>94</v>
      </c>
      <c r="H1247" s="12" t="s">
        <v>39</v>
      </c>
      <c r="I1247" s="12" t="n">
        <v>4</v>
      </c>
      <c r="J1247" s="12" t="s">
        <v>40</v>
      </c>
      <c r="K1247" s="12" t="s">
        <v>63</v>
      </c>
      <c r="L1247" s="12" t="str">
        <f aca="false">IF(OR(H1247="Severe",H1247="Life-Threatening"),"Yes","No")</f>
        <v>No</v>
      </c>
      <c r="M1247" s="12" t="str">
        <f aca="false">IF(B1247&lt;18,"0-17",IF(B1247&lt;40,"18-39",IF(B1247&lt;60,"40-59","60+")))</f>
        <v>18-39</v>
      </c>
      <c r="N1247" s="12" t="str">
        <f aca="false">IF(I1247&lt;=1,"0-1 days",IF(I1247&lt;=7,"2-7 days",IF(I1247&lt;=30,"8-30 days","&gt;30 days")))</f>
        <v>2-7 days</v>
      </c>
    </row>
    <row r="1248" customFormat="false" ht="15" hidden="false" customHeight="false" outlineLevel="0" collapsed="false">
      <c r="A1248" s="12" t="s">
        <v>1489</v>
      </c>
      <c r="B1248" s="12" t="n">
        <v>77</v>
      </c>
      <c r="C1248" s="12" t="s">
        <v>34</v>
      </c>
      <c r="D1248" s="12" t="s">
        <v>112</v>
      </c>
      <c r="E1248" s="12" t="s">
        <v>383</v>
      </c>
      <c r="F1248" s="12" t="s">
        <v>139</v>
      </c>
      <c r="G1248" s="12" t="s">
        <v>38</v>
      </c>
      <c r="H1248" s="12" t="s">
        <v>46</v>
      </c>
      <c r="I1248" s="12" t="n">
        <v>12</v>
      </c>
      <c r="J1248" s="12" t="s">
        <v>40</v>
      </c>
      <c r="K1248" s="12" t="s">
        <v>63</v>
      </c>
      <c r="L1248" s="12" t="str">
        <f aca="false">IF(OR(H1248="Severe",H1248="Life-Threatening"),"Yes","No")</f>
        <v>No</v>
      </c>
      <c r="M1248" s="12" t="str">
        <f aca="false">IF(B1248&lt;18,"0-17",IF(B1248&lt;40,"18-39",IF(B1248&lt;60,"40-59","60+")))</f>
        <v>60+</v>
      </c>
      <c r="N1248" s="12" t="str">
        <f aca="false">IF(I1248&lt;=1,"0-1 days",IF(I1248&lt;=7,"2-7 days",IF(I1248&lt;=30,"8-30 days","&gt;30 days")))</f>
        <v>8-30 days</v>
      </c>
    </row>
    <row r="1249" customFormat="false" ht="15" hidden="false" customHeight="false" outlineLevel="0" collapsed="false">
      <c r="A1249" s="12" t="s">
        <v>1490</v>
      </c>
      <c r="B1249" s="12" t="n">
        <v>68</v>
      </c>
      <c r="C1249" s="12" t="s">
        <v>43</v>
      </c>
      <c r="D1249" s="12" t="s">
        <v>55</v>
      </c>
      <c r="E1249" s="12" t="s">
        <v>175</v>
      </c>
      <c r="F1249" s="12" t="s">
        <v>371</v>
      </c>
      <c r="G1249" s="12" t="s">
        <v>72</v>
      </c>
      <c r="H1249" s="12" t="s">
        <v>76</v>
      </c>
      <c r="I1249" s="12" t="n">
        <v>11</v>
      </c>
      <c r="J1249" s="12" t="s">
        <v>40</v>
      </c>
      <c r="K1249" s="12" t="s">
        <v>63</v>
      </c>
      <c r="L1249" s="12" t="str">
        <f aca="false">IF(OR(H1249="Severe",H1249="Life-Threatening"),"Yes","No")</f>
        <v>Yes</v>
      </c>
      <c r="M1249" s="12" t="str">
        <f aca="false">IF(B1249&lt;18,"0-17",IF(B1249&lt;40,"18-39",IF(B1249&lt;60,"40-59","60+")))</f>
        <v>60+</v>
      </c>
      <c r="N1249" s="12" t="str">
        <f aca="false">IF(I1249&lt;=1,"0-1 days",IF(I1249&lt;=7,"2-7 days",IF(I1249&lt;=30,"8-30 days","&gt;30 days")))</f>
        <v>8-30 days</v>
      </c>
    </row>
  </sheetData>
  <autoFilter ref="A1:N12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6" min="2" style="0" width="15"/>
    <col collapsed="false" customWidth="true" hidden="false" outlineLevel="0" max="7" min="7" style="0" width="18"/>
    <col collapsed="false" customWidth="true" hidden="false" outlineLevel="0" max="13" min="8" style="0" width="15"/>
    <col collapsed="false" customWidth="true" hidden="false" outlineLevel="0" max="14" min="14" style="0" width="18"/>
    <col collapsed="false" customWidth="true" hidden="false" outlineLevel="0" max="32" min="15" style="0" width="15"/>
  </cols>
  <sheetData>
    <row r="1" customFormat="false" ht="15" hidden="false" customHeight="false" outlineLevel="0" collapsed="false">
      <c r="A1" s="15" t="s">
        <v>25</v>
      </c>
      <c r="B1" s="15" t="s">
        <v>1491</v>
      </c>
      <c r="C1" s="12"/>
      <c r="D1" s="15" t="s">
        <v>26</v>
      </c>
      <c r="E1" s="15" t="s">
        <v>1491</v>
      </c>
      <c r="F1" s="12"/>
      <c r="G1" s="15" t="s">
        <v>1492</v>
      </c>
      <c r="H1" s="15" t="s">
        <v>1491</v>
      </c>
      <c r="I1" s="15" t="s">
        <v>30</v>
      </c>
      <c r="J1" s="15" t="s">
        <v>1493</v>
      </c>
      <c r="K1" s="15" t="s">
        <v>1494</v>
      </c>
      <c r="L1" s="12"/>
      <c r="M1" s="15" t="s">
        <v>1495</v>
      </c>
      <c r="N1" s="15" t="s">
        <v>1496</v>
      </c>
      <c r="O1" s="15" t="s">
        <v>30</v>
      </c>
      <c r="P1" s="15" t="s">
        <v>1491</v>
      </c>
      <c r="Q1" s="15" t="s">
        <v>1493</v>
      </c>
      <c r="R1" s="12"/>
      <c r="S1" s="15" t="s">
        <v>1497</v>
      </c>
      <c r="T1" s="15" t="s">
        <v>1491</v>
      </c>
      <c r="U1" s="12"/>
      <c r="V1" s="15" t="s">
        <v>31</v>
      </c>
      <c r="W1" s="15" t="s">
        <v>1491</v>
      </c>
      <c r="X1" s="12"/>
      <c r="Y1" s="15" t="s">
        <v>32</v>
      </c>
      <c r="Z1" s="15" t="s">
        <v>1491</v>
      </c>
      <c r="AA1" s="12"/>
      <c r="AB1" s="15" t="s">
        <v>28</v>
      </c>
      <c r="AC1" s="15" t="s">
        <v>1491</v>
      </c>
      <c r="AD1" s="12"/>
      <c r="AE1" s="15" t="s">
        <v>22</v>
      </c>
      <c r="AF1" s="15" t="s">
        <v>1491</v>
      </c>
    </row>
    <row r="2" customFormat="false" ht="15" hidden="false" customHeight="false" outlineLevel="0" collapsed="false">
      <c r="A2" s="12" t="s">
        <v>38</v>
      </c>
      <c r="B2" s="12" t="n">
        <f aca="false">COUNTIF(Data!$G$2:$G$1249,A2)</f>
        <v>355</v>
      </c>
      <c r="C2" s="12"/>
      <c r="D2" s="12" t="s">
        <v>46</v>
      </c>
      <c r="E2" s="12" t="n">
        <f aca="false">COUNTIF(Data!$H$2:$H$1249,D2)</f>
        <v>396</v>
      </c>
      <c r="F2" s="12"/>
      <c r="G2" s="12" t="s">
        <v>44</v>
      </c>
      <c r="H2" s="12" t="n">
        <f aca="false">COUNTIF(Data!$E$2:$E$1249,G2)</f>
        <v>11</v>
      </c>
      <c r="I2" s="12" t="n">
        <f aca="false">COUNTIFS(Data!$E$2:$E$1249,G2,Data!$L$2:$L$1249,"Yes")</f>
        <v>3</v>
      </c>
      <c r="J2" s="16" t="n">
        <f aca="false">IFERROR(I2/H2,0)</f>
        <v>0.272727272727273</v>
      </c>
      <c r="K2" s="17" t="n">
        <f aca="false">I2+H2/1000+ROW()/10000000</f>
        <v>3.0110002</v>
      </c>
      <c r="L2" s="12"/>
      <c r="M2" s="12" t="n">
        <v>1</v>
      </c>
      <c r="N2" s="12" t="str">
        <f aca="false">INDEX($G$2:$G$87,MATCH(LARGE($K$2:$K$87,M2),$K$2:$K$87,0))</f>
        <v>Diclofenac</v>
      </c>
      <c r="O2" s="12" t="n">
        <f aca="false">INDEX($I$2:$I$87,MATCH(N2,$G$2:$G$87,0))</f>
        <v>16</v>
      </c>
      <c r="P2" s="12" t="n">
        <f aca="false">INDEX($H$2:$H$87,MATCH(N2,$G$2:$G$87,0))</f>
        <v>36</v>
      </c>
      <c r="Q2" s="16" t="n">
        <f aca="false">IFERROR(O2/P2,0)</f>
        <v>0.444444444444444</v>
      </c>
      <c r="R2" s="12"/>
      <c r="S2" s="12" t="s">
        <v>147</v>
      </c>
      <c r="T2" s="12" t="n">
        <f aca="false">COUNTIF(Data!$K$2:$K$1249,S2)</f>
        <v>108</v>
      </c>
      <c r="U2" s="12"/>
      <c r="V2" s="12" t="s">
        <v>1498</v>
      </c>
      <c r="W2" s="12" t="n">
        <f aca="false">COUNTIF(Data!$M$2:$M$1249,V2)</f>
        <v>93</v>
      </c>
      <c r="X2" s="12"/>
      <c r="Y2" s="12" t="s">
        <v>1499</v>
      </c>
      <c r="Z2" s="12" t="n">
        <f aca="false">COUNTIF(Data!$N$2:$N$1249,Y2)</f>
        <v>105</v>
      </c>
      <c r="AA2" s="12"/>
      <c r="AB2" s="12" t="s">
        <v>40</v>
      </c>
      <c r="AC2" s="12" t="n">
        <f aca="false">COUNTIF(Data!$J$2:$J$1249,AB2)</f>
        <v>679</v>
      </c>
      <c r="AD2" s="12"/>
      <c r="AE2" s="12" t="s">
        <v>35</v>
      </c>
      <c r="AF2" s="12" t="n">
        <f aca="false">COUNTIF(Data!$D$2:$D$1249,AE2)</f>
        <v>225</v>
      </c>
    </row>
    <row r="3" customFormat="false" ht="15" hidden="false" customHeight="false" outlineLevel="0" collapsed="false">
      <c r="A3" s="12" t="s">
        <v>53</v>
      </c>
      <c r="B3" s="12" t="n">
        <f aca="false">COUNTIF(Data!$G$2:$G$1249,A3)</f>
        <v>262</v>
      </c>
      <c r="C3" s="12"/>
      <c r="D3" s="12" t="s">
        <v>39</v>
      </c>
      <c r="E3" s="12" t="n">
        <f aca="false">COUNTIF(Data!$H$2:$H$1249,D3)</f>
        <v>456</v>
      </c>
      <c r="F3" s="12"/>
      <c r="G3" s="12" t="s">
        <v>266</v>
      </c>
      <c r="H3" s="12" t="n">
        <f aca="false">COUNTIF(Data!$E$2:$E$1249,G3)</f>
        <v>24</v>
      </c>
      <c r="I3" s="12" t="n">
        <f aca="false">COUNTIFS(Data!$E$2:$E$1249,G3,Data!$L$2:$L$1249,"Yes")</f>
        <v>10</v>
      </c>
      <c r="J3" s="16" t="n">
        <f aca="false">IFERROR(I3/H3,0)</f>
        <v>0.416666666666667</v>
      </c>
      <c r="K3" s="17" t="n">
        <f aca="false">I3+H3/1000+ROW()/10000000</f>
        <v>10.0240003</v>
      </c>
      <c r="L3" s="12"/>
      <c r="M3" s="12" t="n">
        <v>2</v>
      </c>
      <c r="N3" s="12" t="str">
        <f aca="false">INDEX($G$2:$G$87,MATCH(LARGE($K$2:$K$87,M3),$K$2:$K$87,0))</f>
        <v>Ibuprofen</v>
      </c>
      <c r="O3" s="12" t="n">
        <f aca="false">INDEX($I$2:$I$87,MATCH(N3,$G$2:$G$87,0))</f>
        <v>15</v>
      </c>
      <c r="P3" s="12" t="n">
        <f aca="false">INDEX($H$2:$H$87,MATCH(N3,$G$2:$G$87,0))</f>
        <v>39</v>
      </c>
      <c r="Q3" s="16" t="n">
        <f aca="false">IFERROR(O3/P3,0)</f>
        <v>0.384615384615385</v>
      </c>
      <c r="R3" s="12"/>
      <c r="S3" s="12" t="s">
        <v>63</v>
      </c>
      <c r="T3" s="12" t="n">
        <f aca="false">COUNTIF(Data!$K$2:$K$1249,S3)</f>
        <v>467</v>
      </c>
      <c r="U3" s="12"/>
      <c r="V3" s="12" t="s">
        <v>1500</v>
      </c>
      <c r="W3" s="12" t="n">
        <f aca="false">COUNTIF(Data!$M$2:$M$1249,V3)</f>
        <v>330</v>
      </c>
      <c r="X3" s="12"/>
      <c r="Y3" s="12" t="s">
        <v>1501</v>
      </c>
      <c r="Z3" s="12" t="n">
        <f aca="false">COUNTIF(Data!$N$2:$N$1249,Y3)</f>
        <v>215</v>
      </c>
      <c r="AA3" s="12"/>
      <c r="AB3" s="12" t="s">
        <v>47</v>
      </c>
      <c r="AC3" s="12" t="n">
        <f aca="false">COUNTIF(Data!$J$2:$J$1249,AB3)</f>
        <v>315</v>
      </c>
      <c r="AD3" s="12"/>
      <c r="AE3" s="12" t="s">
        <v>55</v>
      </c>
      <c r="AF3" s="12" t="n">
        <f aca="false">COUNTIF(Data!$D$2:$D$1249,AE3)</f>
        <v>152</v>
      </c>
    </row>
    <row r="4" customFormat="false" ht="15" hidden="false" customHeight="false" outlineLevel="0" collapsed="false">
      <c r="A4" s="12" t="s">
        <v>115</v>
      </c>
      <c r="B4" s="12" t="n">
        <f aca="false">COUNTIF(Data!$G$2:$G$1249,A4)</f>
        <v>120</v>
      </c>
      <c r="C4" s="12"/>
      <c r="D4" s="12" t="s">
        <v>76</v>
      </c>
      <c r="E4" s="12" t="n">
        <f aca="false">COUNTIF(Data!$H$2:$H$1249,D4)</f>
        <v>255</v>
      </c>
      <c r="F4" s="12"/>
      <c r="G4" s="12" t="s">
        <v>175</v>
      </c>
      <c r="H4" s="12" t="n">
        <f aca="false">COUNTIF(Data!$E$2:$E$1249,G4)</f>
        <v>16</v>
      </c>
      <c r="I4" s="12" t="n">
        <f aca="false">COUNTIFS(Data!$E$2:$E$1249,G4,Data!$L$2:$L$1249,"Yes")</f>
        <v>10</v>
      </c>
      <c r="J4" s="16" t="n">
        <f aca="false">IFERROR(I4/H4,0)</f>
        <v>0.625</v>
      </c>
      <c r="K4" s="17" t="n">
        <f aca="false">I4+H4/1000+ROW()/10000000</f>
        <v>10.0160004</v>
      </c>
      <c r="L4" s="12"/>
      <c r="M4" s="12" t="n">
        <v>3</v>
      </c>
      <c r="N4" s="12" t="str">
        <f aca="false">INDEX($G$2:$G$87,MATCH(LARGE($K$2:$K$87,M4),$K$2:$K$87,0))</f>
        <v>Amoxicillin</v>
      </c>
      <c r="O4" s="12" t="n">
        <f aca="false">INDEX($I$2:$I$87,MATCH(N4,$G$2:$G$87,0))</f>
        <v>12</v>
      </c>
      <c r="P4" s="12" t="n">
        <f aca="false">INDEX($H$2:$H$87,MATCH(N4,$G$2:$G$87,0))</f>
        <v>37</v>
      </c>
      <c r="Q4" s="16" t="n">
        <f aca="false">IFERROR(O4/P4,0)</f>
        <v>0.324324324324324</v>
      </c>
      <c r="R4" s="12"/>
      <c r="S4" s="12" t="s">
        <v>48</v>
      </c>
      <c r="T4" s="12" t="n">
        <f aca="false">COUNTIF(Data!$K$2:$K$1249,S4)</f>
        <v>550</v>
      </c>
      <c r="U4" s="12"/>
      <c r="V4" s="12" t="s">
        <v>1502</v>
      </c>
      <c r="W4" s="12" t="n">
        <f aca="false">COUNTIF(Data!$M$2:$M$1249,V4)</f>
        <v>477</v>
      </c>
      <c r="X4" s="12"/>
      <c r="Y4" s="12" t="s">
        <v>1503</v>
      </c>
      <c r="Z4" s="12" t="n">
        <f aca="false">COUNTIF(Data!$N$2:$N$1249,Y4)</f>
        <v>872</v>
      </c>
      <c r="AA4" s="12"/>
      <c r="AB4" s="12" t="s">
        <v>169</v>
      </c>
      <c r="AC4" s="12" t="n">
        <f aca="false">COUNTIF(Data!$J$2:$J$1249,AB4)</f>
        <v>104</v>
      </c>
      <c r="AD4" s="12"/>
      <c r="AE4" s="12" t="s">
        <v>69</v>
      </c>
      <c r="AF4" s="12" t="n">
        <f aca="false">COUNTIF(Data!$D$2:$D$1249,AE4)</f>
        <v>90</v>
      </c>
    </row>
    <row r="5" customFormat="false" ht="15" hidden="false" customHeight="false" outlineLevel="0" collapsed="false">
      <c r="A5" s="12" t="s">
        <v>94</v>
      </c>
      <c r="B5" s="12" t="n">
        <f aca="false">COUNTIF(Data!$G$2:$G$1249,A5)</f>
        <v>107</v>
      </c>
      <c r="C5" s="12"/>
      <c r="D5" s="12" t="s">
        <v>59</v>
      </c>
      <c r="E5" s="12" t="n">
        <f aca="false">COUNTIF(Data!$H$2:$H$1249,D5)</f>
        <v>141</v>
      </c>
      <c r="F5" s="12"/>
      <c r="G5" s="12" t="s">
        <v>141</v>
      </c>
      <c r="H5" s="12" t="n">
        <f aca="false">COUNTIF(Data!$E$2:$E$1249,G5)</f>
        <v>12</v>
      </c>
      <c r="I5" s="12" t="n">
        <f aca="false">COUNTIFS(Data!$E$2:$E$1249,G5,Data!$L$2:$L$1249,"Yes")</f>
        <v>1</v>
      </c>
      <c r="J5" s="16" t="n">
        <f aca="false">IFERROR(I5/H5,0)</f>
        <v>0.0833333333333333</v>
      </c>
      <c r="K5" s="17" t="n">
        <f aca="false">I5+H5/1000+ROW()/10000000</f>
        <v>1.0120005</v>
      </c>
      <c r="L5" s="12"/>
      <c r="M5" s="12" t="n">
        <v>4</v>
      </c>
      <c r="N5" s="12" t="str">
        <f aca="false">INDEX($G$2:$G$87,MATCH(LARGE($K$2:$K$87,M5),$K$2:$K$87,0))</f>
        <v>Paracetamol</v>
      </c>
      <c r="O5" s="12" t="n">
        <f aca="false">INDEX($I$2:$I$87,MATCH(N5,$G$2:$G$87,0))</f>
        <v>12</v>
      </c>
      <c r="P5" s="12" t="n">
        <f aca="false">INDEX($H$2:$H$87,MATCH(N5,$G$2:$G$87,0))</f>
        <v>27</v>
      </c>
      <c r="Q5" s="16" t="n">
        <f aca="false">IFERROR(O5/P5,0)</f>
        <v>0.444444444444444</v>
      </c>
      <c r="R5" s="12"/>
      <c r="S5" s="12" t="s">
        <v>41</v>
      </c>
      <c r="T5" s="12" t="n">
        <f aca="false">COUNTIF(Data!$K$2:$K$1249,S5)</f>
        <v>123</v>
      </c>
      <c r="U5" s="12"/>
      <c r="V5" s="12" t="s">
        <v>1504</v>
      </c>
      <c r="W5" s="12" t="n">
        <f aca="false">COUNTIF(Data!$M$2:$M$1249,V5)</f>
        <v>348</v>
      </c>
      <c r="X5" s="12"/>
      <c r="Y5" s="12" t="s">
        <v>1505</v>
      </c>
      <c r="Z5" s="12" t="n">
        <f aca="false">COUNTIF(Data!$N$2:$N$1249,Y5)</f>
        <v>872</v>
      </c>
      <c r="AA5" s="12"/>
      <c r="AB5" s="12" t="s">
        <v>67</v>
      </c>
      <c r="AC5" s="12" t="n">
        <f aca="false">COUNTIF(Data!$J$2:$J$1249,AB5)</f>
        <v>105</v>
      </c>
      <c r="AD5" s="12"/>
      <c r="AE5" s="12" t="s">
        <v>155</v>
      </c>
      <c r="AF5" s="12" t="n">
        <f aca="false">COUNTIF(Data!$D$2:$D$1249,AE5)</f>
        <v>75</v>
      </c>
    </row>
    <row r="6" customFormat="false" ht="15" hidden="false" customHeight="false" outlineLevel="0" collapsed="false">
      <c r="A6" s="12" t="s">
        <v>177</v>
      </c>
      <c r="B6" s="12" t="n">
        <f aca="false">COUNTIF(Data!$G$2:$G$1249,A6)</f>
        <v>90</v>
      </c>
      <c r="C6" s="12"/>
      <c r="D6" s="12"/>
      <c r="E6" s="12"/>
      <c r="F6" s="12"/>
      <c r="G6" s="12" t="s">
        <v>307</v>
      </c>
      <c r="H6" s="12" t="n">
        <f aca="false">COUNTIF(Data!$E$2:$E$1249,G6)</f>
        <v>29</v>
      </c>
      <c r="I6" s="12" t="n">
        <f aca="false">COUNTIFS(Data!$E$2:$E$1249,G6,Data!$L$2:$L$1249,"Yes")</f>
        <v>1</v>
      </c>
      <c r="J6" s="16" t="n">
        <f aca="false">IFERROR(I6/H6,0)</f>
        <v>0.0344827586206897</v>
      </c>
      <c r="K6" s="17" t="n">
        <f aca="false">I6+H6/1000+ROW()/10000000</f>
        <v>1.0290006</v>
      </c>
      <c r="L6" s="12"/>
      <c r="M6" s="12" t="n">
        <v>5</v>
      </c>
      <c r="N6" s="12" t="str">
        <f aca="false">INDEX($G$2:$G$87,MATCH(LARGE($K$2:$K$87,M6),$K$2:$K$87,0))</f>
        <v>Metformin</v>
      </c>
      <c r="O6" s="12" t="n">
        <f aca="false">INDEX($I$2:$I$87,MATCH(N6,$G$2:$G$87,0))</f>
        <v>11</v>
      </c>
      <c r="P6" s="12" t="n">
        <f aca="false">INDEX($H$2:$H$87,MATCH(N6,$G$2:$G$87,0))</f>
        <v>38</v>
      </c>
      <c r="Q6" s="16" t="n">
        <f aca="false">IFERROR(O6/P6,0)</f>
        <v>0.289473684210526</v>
      </c>
      <c r="R6" s="12"/>
      <c r="S6" s="12"/>
      <c r="T6" s="12"/>
      <c r="U6" s="12"/>
      <c r="V6" s="12"/>
      <c r="W6" s="12"/>
      <c r="X6" s="12"/>
      <c r="Y6" s="12"/>
      <c r="Z6" s="12"/>
      <c r="AA6" s="12"/>
      <c r="AB6" s="12" t="s">
        <v>105</v>
      </c>
      <c r="AC6" s="12" t="n">
        <f aca="false">COUNTIF(Data!$J$2:$J$1249,AB6)</f>
        <v>45</v>
      </c>
      <c r="AD6" s="12"/>
      <c r="AE6" s="12" t="s">
        <v>50</v>
      </c>
      <c r="AF6" s="12" t="n">
        <f aca="false">COUNTIF(Data!$D$2:$D$1249,AE6)</f>
        <v>53</v>
      </c>
    </row>
    <row r="7" customFormat="false" ht="15" hidden="false" customHeight="false" outlineLevel="0" collapsed="false">
      <c r="A7" s="12" t="s">
        <v>80</v>
      </c>
      <c r="B7" s="12" t="n">
        <f aca="false">COUNTIF(Data!$G$2:$G$1249,A7)</f>
        <v>75</v>
      </c>
      <c r="C7" s="12"/>
      <c r="D7" s="12"/>
      <c r="E7" s="12"/>
      <c r="F7" s="12"/>
      <c r="G7" s="12" t="s">
        <v>74</v>
      </c>
      <c r="H7" s="12" t="n">
        <f aca="false">COUNTIF(Data!$E$2:$E$1249,G7)</f>
        <v>37</v>
      </c>
      <c r="I7" s="12" t="n">
        <f aca="false">COUNTIFS(Data!$E$2:$E$1249,G7,Data!$L$2:$L$1249,"Yes")</f>
        <v>12</v>
      </c>
      <c r="J7" s="16" t="n">
        <f aca="false">IFERROR(I7/H7,0)</f>
        <v>0.324324324324324</v>
      </c>
      <c r="K7" s="17" t="n">
        <f aca="false">I7+H7/1000+ROW()/10000000</f>
        <v>12.0370007</v>
      </c>
      <c r="L7" s="12"/>
      <c r="M7" s="12" t="n">
        <v>6</v>
      </c>
      <c r="N7" s="12" t="str">
        <f aca="false">INDEX($G$2:$G$87,MATCH(LARGE($K$2:$K$87,M7),$K$2:$K$87,0))</f>
        <v>Cotrimoxazole</v>
      </c>
      <c r="O7" s="12" t="n">
        <f aca="false">INDEX($I$2:$I$87,MATCH(N7,$G$2:$G$87,0))</f>
        <v>11</v>
      </c>
      <c r="P7" s="12" t="n">
        <f aca="false">INDEX($H$2:$H$87,MATCH(N7,$G$2:$G$87,0))</f>
        <v>23</v>
      </c>
      <c r="Q7" s="16" t="n">
        <f aca="false">IFERROR(O7/P7,0)</f>
        <v>0.478260869565217</v>
      </c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 t="s">
        <v>196</v>
      </c>
      <c r="AF7" s="12" t="n">
        <f aca="false">COUNTIF(Data!$D$2:$D$1249,AE7)</f>
        <v>50</v>
      </c>
    </row>
    <row r="8" customFormat="false" ht="15" hidden="false" customHeight="false" outlineLevel="0" collapsed="false">
      <c r="A8" s="12" t="s">
        <v>104</v>
      </c>
      <c r="B8" s="12" t="n">
        <f aca="false">COUNTIF(Data!$G$2:$G$1249,A8)</f>
        <v>58</v>
      </c>
      <c r="C8" s="12"/>
      <c r="D8" s="12"/>
      <c r="E8" s="12"/>
      <c r="F8" s="12"/>
      <c r="G8" s="12" t="s">
        <v>412</v>
      </c>
      <c r="H8" s="12" t="n">
        <f aca="false">COUNTIF(Data!$E$2:$E$1249,G8)</f>
        <v>8</v>
      </c>
      <c r="I8" s="12" t="n">
        <f aca="false">COUNTIFS(Data!$E$2:$E$1249,G8,Data!$L$2:$L$1249,"Yes")</f>
        <v>2</v>
      </c>
      <c r="J8" s="16" t="n">
        <f aca="false">IFERROR(I8/H8,0)</f>
        <v>0.25</v>
      </c>
      <c r="K8" s="17" t="n">
        <f aca="false">I8+H8/1000+ROW()/10000000</f>
        <v>2.0080008</v>
      </c>
      <c r="L8" s="12"/>
      <c r="M8" s="12" t="n">
        <v>7</v>
      </c>
      <c r="N8" s="12" t="str">
        <f aca="false">INDEX($G$2:$G$87,MATCH(LARGE($K$2:$K$87,M8),$K$2:$K$87,0))</f>
        <v>Ciprofloxacin</v>
      </c>
      <c r="O8" s="12" t="n">
        <f aca="false">INDEX($I$2:$I$87,MATCH(N8,$G$2:$G$87,0))</f>
        <v>11</v>
      </c>
      <c r="P8" s="12" t="n">
        <f aca="false">INDEX($H$2:$H$87,MATCH(N8,$G$2:$G$87,0))</f>
        <v>23</v>
      </c>
      <c r="Q8" s="16" t="n">
        <f aca="false">IFERROR(O8/P8,0)</f>
        <v>0.478260869565217</v>
      </c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 t="s">
        <v>168</v>
      </c>
      <c r="AF8" s="12" t="n">
        <f aca="false">COUNTIF(Data!$D$2:$D$1249,AE8)</f>
        <v>43</v>
      </c>
    </row>
    <row r="9" customFormat="false" ht="15" hidden="false" customHeight="false" outlineLevel="0" collapsed="false">
      <c r="A9" s="12" t="s">
        <v>136</v>
      </c>
      <c r="B9" s="12" t="n">
        <f aca="false">COUNTIF(Data!$G$2:$G$1249,A9)</f>
        <v>51</v>
      </c>
      <c r="C9" s="12"/>
      <c r="D9" s="12"/>
      <c r="E9" s="12"/>
      <c r="F9" s="12"/>
      <c r="G9" s="12" t="s">
        <v>78</v>
      </c>
      <c r="H9" s="12" t="n">
        <f aca="false">COUNTIF(Data!$E$2:$E$1249,G9)</f>
        <v>12</v>
      </c>
      <c r="I9" s="12" t="n">
        <f aca="false">COUNTIFS(Data!$E$2:$E$1249,G9,Data!$L$2:$L$1249,"Yes")</f>
        <v>6</v>
      </c>
      <c r="J9" s="16" t="n">
        <f aca="false">IFERROR(I9/H9,0)</f>
        <v>0.5</v>
      </c>
      <c r="K9" s="17" t="n">
        <f aca="false">I9+H9/1000+ROW()/10000000</f>
        <v>6.0120009</v>
      </c>
      <c r="L9" s="12"/>
      <c r="M9" s="12" t="n">
        <v>8</v>
      </c>
      <c r="N9" s="12" t="str">
        <f aca="false">INDEX($G$2:$G$87,MATCH(LARGE($K$2:$K$87,M9),$K$2:$K$87,0))</f>
        <v>Allopurinol</v>
      </c>
      <c r="O9" s="12" t="n">
        <f aca="false">INDEX($I$2:$I$87,MATCH(N9,$G$2:$G$87,0))</f>
        <v>10</v>
      </c>
      <c r="P9" s="12" t="n">
        <f aca="false">INDEX($H$2:$H$87,MATCH(N9,$G$2:$G$87,0))</f>
        <v>24</v>
      </c>
      <c r="Q9" s="16" t="n">
        <f aca="false">IFERROR(O9/P9,0)</f>
        <v>0.416666666666667</v>
      </c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 t="s">
        <v>102</v>
      </c>
      <c r="AF9" s="12" t="n">
        <f aca="false">COUNTIF(Data!$D$2:$D$1249,AE9)</f>
        <v>42</v>
      </c>
    </row>
    <row r="10" customFormat="false" ht="15" hidden="false" customHeight="false" outlineLevel="0" collapsed="false">
      <c r="A10" s="12" t="s">
        <v>152</v>
      </c>
      <c r="B10" s="12" t="n">
        <f aca="false">COUNTIF(Data!$G$2:$G$1249,A10)</f>
        <v>42</v>
      </c>
      <c r="C10" s="12"/>
      <c r="D10" s="12"/>
      <c r="E10" s="12"/>
      <c r="F10" s="12"/>
      <c r="G10" s="12" t="s">
        <v>206</v>
      </c>
      <c r="H10" s="12" t="n">
        <f aca="false">COUNTIF(Data!$E$2:$E$1249,G10)</f>
        <v>7</v>
      </c>
      <c r="I10" s="12" t="n">
        <f aca="false">COUNTIFS(Data!$E$2:$E$1249,G10,Data!$L$2:$L$1249,"Yes")</f>
        <v>4</v>
      </c>
      <c r="J10" s="16" t="n">
        <f aca="false">IFERROR(I10/H10,0)</f>
        <v>0.571428571428571</v>
      </c>
      <c r="K10" s="17" t="n">
        <f aca="false">I10+H10/1000+ROW()/10000000</f>
        <v>4.007001</v>
      </c>
      <c r="L10" s="12"/>
      <c r="M10" s="12" t="n">
        <v>9</v>
      </c>
      <c r="N10" s="12" t="str">
        <f aca="false">INDEX($G$2:$G$87,MATCH(LARGE($K$2:$K$87,M10),$K$2:$K$87,0))</f>
        <v>Phenytoin</v>
      </c>
      <c r="O10" s="12" t="n">
        <f aca="false">INDEX($I$2:$I$87,MATCH(N10,$G$2:$G$87,0))</f>
        <v>10</v>
      </c>
      <c r="P10" s="12" t="n">
        <f aca="false">INDEX($H$2:$H$87,MATCH(N10,$G$2:$G$87,0))</f>
        <v>21</v>
      </c>
      <c r="Q10" s="16" t="n">
        <f aca="false">IFERROR(O10/P10,0)</f>
        <v>0.476190476190476</v>
      </c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 t="s">
        <v>99</v>
      </c>
      <c r="AF10" s="12" t="n">
        <f aca="false">COUNTIF(Data!$D$2:$D$1249,AE10)</f>
        <v>39</v>
      </c>
    </row>
    <row r="11" customFormat="false" ht="15" hidden="false" customHeight="false" outlineLevel="0" collapsed="false">
      <c r="A11" s="12" t="s">
        <v>72</v>
      </c>
      <c r="B11" s="12" t="n">
        <f aca="false">COUNTIF(Data!$G$2:$G$1249,A11)</f>
        <v>37</v>
      </c>
      <c r="C11" s="12"/>
      <c r="D11" s="12"/>
      <c r="E11" s="12"/>
      <c r="F11" s="12"/>
      <c r="G11" s="12" t="s">
        <v>89</v>
      </c>
      <c r="H11" s="12" t="n">
        <f aca="false">COUNTIF(Data!$E$2:$E$1249,G11)</f>
        <v>21</v>
      </c>
      <c r="I11" s="12" t="n">
        <f aca="false">COUNTIFS(Data!$E$2:$E$1249,G11,Data!$L$2:$L$1249,"Yes")</f>
        <v>3</v>
      </c>
      <c r="J11" s="16" t="n">
        <f aca="false">IFERROR(I11/H11,0)</f>
        <v>0.142857142857143</v>
      </c>
      <c r="K11" s="17" t="n">
        <f aca="false">I11+H11/1000+ROW()/10000000</f>
        <v>3.0210011</v>
      </c>
      <c r="L11" s="12"/>
      <c r="M11" s="12" t="n">
        <v>10</v>
      </c>
      <c r="N11" s="12" t="str">
        <f aca="false">INDEX($G$2:$G$87,MATCH(LARGE($K$2:$K$87,M11),$K$2:$K$87,0))</f>
        <v>Warfarin</v>
      </c>
      <c r="O11" s="12" t="n">
        <f aca="false">INDEX($I$2:$I$87,MATCH(N11,$G$2:$G$87,0))</f>
        <v>10</v>
      </c>
      <c r="P11" s="12" t="n">
        <f aca="false">INDEX($H$2:$H$87,MATCH(N11,$G$2:$G$87,0))</f>
        <v>17</v>
      </c>
      <c r="Q11" s="16" t="n">
        <f aca="false">IFERROR(O11/P11,0)</f>
        <v>0.588235294117647</v>
      </c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 t="s">
        <v>194</v>
      </c>
      <c r="AF11" s="12" t="n">
        <f aca="false">COUNTIF(Data!$D$2:$D$1249,AE11)</f>
        <v>34</v>
      </c>
    </row>
    <row r="12" customFormat="false" ht="15" hidden="false" customHeight="false" outlineLevel="0" collapsed="false">
      <c r="A12" s="12" t="s">
        <v>146</v>
      </c>
      <c r="B12" s="12" t="n">
        <f aca="false">COUNTIF(Data!$G$2:$G$1249,A12)</f>
        <v>28</v>
      </c>
      <c r="C12" s="12"/>
      <c r="D12" s="12"/>
      <c r="E12" s="12"/>
      <c r="F12" s="12"/>
      <c r="G12" s="12" t="s">
        <v>315</v>
      </c>
      <c r="H12" s="12" t="n">
        <f aca="false">COUNTIF(Data!$E$2:$E$1249,G12)</f>
        <v>13</v>
      </c>
      <c r="I12" s="12" t="n">
        <f aca="false">COUNTIFS(Data!$E$2:$E$1249,G12,Data!$L$2:$L$1249,"Yes")</f>
        <v>2</v>
      </c>
      <c r="J12" s="16" t="n">
        <f aca="false">IFERROR(I12/H12,0)</f>
        <v>0.153846153846154</v>
      </c>
      <c r="K12" s="17" t="n">
        <f aca="false">I12+H12/1000+ROW()/10000000</f>
        <v>2.0130012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 t="s">
        <v>85</v>
      </c>
      <c r="AF12" s="12" t="n">
        <f aca="false">COUNTIF(Data!$D$2:$D$1249,AE12)</f>
        <v>33</v>
      </c>
    </row>
    <row r="13" customFormat="false" ht="15" hidden="false" customHeight="false" outlineLevel="0" collapsed="false">
      <c r="A13" s="12" t="s">
        <v>58</v>
      </c>
      <c r="B13" s="12" t="n">
        <f aca="false">COUNTIF(Data!$G$2:$G$1249,A13)</f>
        <v>23</v>
      </c>
      <c r="C13" s="12"/>
      <c r="D13" s="12"/>
      <c r="E13" s="12"/>
      <c r="F13" s="12"/>
      <c r="G13" s="12" t="s">
        <v>241</v>
      </c>
      <c r="H13" s="12" t="n">
        <f aca="false">COUNTIF(Data!$E$2:$E$1249,G13)</f>
        <v>30</v>
      </c>
      <c r="I13" s="12" t="n">
        <f aca="false">COUNTIFS(Data!$E$2:$E$1249,G13,Data!$L$2:$L$1249,"Yes")</f>
        <v>4</v>
      </c>
      <c r="J13" s="16" t="n">
        <f aca="false">IFERROR(I13/H13,0)</f>
        <v>0.133333333333333</v>
      </c>
      <c r="K13" s="17" t="n">
        <f aca="false">I13+H13/1000+ROW()/10000000</f>
        <v>4.0300013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 t="s">
        <v>245</v>
      </c>
      <c r="AF13" s="12" t="n">
        <f aca="false">COUNTIF(Data!$D$2:$D$1249,AE13)</f>
        <v>30</v>
      </c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2" t="s">
        <v>183</v>
      </c>
      <c r="H14" s="12" t="n">
        <f aca="false">COUNTIF(Data!$E$2:$E$1249,G14)</f>
        <v>20</v>
      </c>
      <c r="I14" s="12" t="n">
        <f aca="false">COUNTIFS(Data!$E$2:$E$1249,G14,Data!$L$2:$L$1249,"Yes")</f>
        <v>8</v>
      </c>
      <c r="J14" s="16" t="n">
        <f aca="false">IFERROR(I14/H14,0)</f>
        <v>0.4</v>
      </c>
      <c r="K14" s="17" t="n">
        <f aca="false">I14+H14/1000+ROW()/10000000</f>
        <v>8.0200014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 t="s">
        <v>117</v>
      </c>
      <c r="AF14" s="12" t="n">
        <f aca="false">COUNTIF(Data!$D$2:$D$1249,AE14)</f>
        <v>29</v>
      </c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2" t="s">
        <v>291</v>
      </c>
      <c r="H15" s="12" t="n">
        <f aca="false">COUNTIF(Data!$E$2:$E$1249,G15)</f>
        <v>3</v>
      </c>
      <c r="I15" s="12" t="n">
        <f aca="false">COUNTIFS(Data!$E$2:$E$1249,G15,Data!$L$2:$L$1249,"Yes")</f>
        <v>2</v>
      </c>
      <c r="J15" s="16" t="n">
        <f aca="false">IFERROR(I15/H15,0)</f>
        <v>0.666666666666667</v>
      </c>
      <c r="K15" s="17" t="n">
        <f aca="false">I15+H15/1000+ROW()/10000000</f>
        <v>2.0030015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 t="s">
        <v>190</v>
      </c>
      <c r="AF15" s="12" t="n">
        <f aca="false">COUNTIF(Data!$D$2:$D$1249,AE15)</f>
        <v>27</v>
      </c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2" t="s">
        <v>386</v>
      </c>
      <c r="H16" s="12" t="n">
        <f aca="false">COUNTIF(Data!$E$2:$E$1249,G16)</f>
        <v>23</v>
      </c>
      <c r="I16" s="12" t="n">
        <f aca="false">COUNTIFS(Data!$E$2:$E$1249,G16,Data!$L$2:$L$1249,"Yes")</f>
        <v>8</v>
      </c>
      <c r="J16" s="16" t="n">
        <f aca="false">IFERROR(I16/H16,0)</f>
        <v>0.347826086956522</v>
      </c>
      <c r="K16" s="17" t="n">
        <f aca="false">I16+H16/1000+ROW()/10000000</f>
        <v>8.0230016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 t="s">
        <v>112</v>
      </c>
      <c r="AF16" s="12" t="n">
        <f aca="false">COUNTIF(Data!$D$2:$D$1249,AE16)</f>
        <v>26</v>
      </c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2" t="s">
        <v>138</v>
      </c>
      <c r="H17" s="12" t="n">
        <f aca="false">COUNTIF(Data!$E$2:$E$1249,G17)</f>
        <v>10</v>
      </c>
      <c r="I17" s="12" t="n">
        <f aca="false">COUNTIFS(Data!$E$2:$E$1249,G17,Data!$L$2:$L$1249,"Yes")</f>
        <v>3</v>
      </c>
      <c r="J17" s="16" t="n">
        <f aca="false">IFERROR(I17/H17,0)</f>
        <v>0.3</v>
      </c>
      <c r="K17" s="17" t="n">
        <f aca="false">I17+H17/1000+ROW()/10000000</f>
        <v>3.0100017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 t="s">
        <v>123</v>
      </c>
      <c r="AF17" s="12" t="n">
        <f aca="false">COUNTIF(Data!$D$2:$D$1249,AE17)</f>
        <v>26</v>
      </c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 t="s">
        <v>229</v>
      </c>
      <c r="H18" s="12" t="n">
        <f aca="false">COUNTIF(Data!$E$2:$E$1249,G18)</f>
        <v>17</v>
      </c>
      <c r="I18" s="12" t="n">
        <f aca="false">COUNTIFS(Data!$E$2:$E$1249,G18,Data!$L$2:$L$1249,"Yes")</f>
        <v>2</v>
      </c>
      <c r="J18" s="16" t="n">
        <f aca="false">IFERROR(I18/H18,0)</f>
        <v>0.117647058823529</v>
      </c>
      <c r="K18" s="17" t="n">
        <f aca="false">I18+H18/1000+ROW()/10000000</f>
        <v>2.0170018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 t="s">
        <v>234</v>
      </c>
      <c r="AF18" s="12" t="n">
        <f aca="false">COUNTIF(Data!$D$2:$D$1249,AE18)</f>
        <v>26</v>
      </c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2" t="s">
        <v>311</v>
      </c>
      <c r="H19" s="12" t="n">
        <f aca="false">COUNTIF(Data!$E$2:$E$1249,G19)</f>
        <v>9</v>
      </c>
      <c r="I19" s="12" t="n">
        <f aca="false">COUNTIFS(Data!$E$2:$E$1249,G19,Data!$L$2:$L$1249,"Yes")</f>
        <v>3</v>
      </c>
      <c r="J19" s="16" t="n">
        <f aca="false">IFERROR(I19/H19,0)</f>
        <v>0.333333333333333</v>
      </c>
      <c r="K19" s="17" t="n">
        <f aca="false">I19+H19/1000+ROW()/10000000</f>
        <v>3.0090019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 t="s">
        <v>88</v>
      </c>
      <c r="AF19" s="12" t="n">
        <f aca="false">COUNTIF(Data!$D$2:$D$1249,AE19)</f>
        <v>25</v>
      </c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2" t="s">
        <v>321</v>
      </c>
      <c r="H20" s="12" t="n">
        <f aca="false">COUNTIF(Data!$E$2:$E$1249,G20)</f>
        <v>12</v>
      </c>
      <c r="I20" s="12" t="n">
        <f aca="false">COUNTIFS(Data!$E$2:$E$1249,G20,Data!$L$2:$L$1249,"Yes")</f>
        <v>2</v>
      </c>
      <c r="J20" s="16" t="n">
        <f aca="false">IFERROR(I20/H20,0)</f>
        <v>0.166666666666667</v>
      </c>
      <c r="K20" s="17" t="n">
        <f aca="false">I20+H20/1000+ROW()/10000000</f>
        <v>2.012002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 t="s">
        <v>120</v>
      </c>
      <c r="AF20" s="12" t="n">
        <f aca="false">COUNTIF(Data!$D$2:$D$1249,AE20)</f>
        <v>24</v>
      </c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2" t="s">
        <v>179</v>
      </c>
      <c r="H21" s="12" t="n">
        <f aca="false">COUNTIF(Data!$E$2:$E$1249,G21)</f>
        <v>23</v>
      </c>
      <c r="I21" s="12" t="n">
        <f aca="false">COUNTIFS(Data!$E$2:$E$1249,G21,Data!$L$2:$L$1249,"Yes")</f>
        <v>11</v>
      </c>
      <c r="J21" s="16" t="n">
        <f aca="false">IFERROR(I21/H21,0)</f>
        <v>0.478260869565217</v>
      </c>
      <c r="K21" s="17" t="n">
        <f aca="false">I21+H21/1000+ROW()/10000000</f>
        <v>11.0230021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 t="s">
        <v>211</v>
      </c>
      <c r="AF21" s="12" t="n">
        <f aca="false">COUNTIF(Data!$D$2:$D$1249,AE21)</f>
        <v>24</v>
      </c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2" t="s">
        <v>454</v>
      </c>
      <c r="H22" s="12" t="n">
        <f aca="false">COUNTIF(Data!$E$2:$E$1249,G22)</f>
        <v>8</v>
      </c>
      <c r="I22" s="12" t="n">
        <f aca="false">COUNTIFS(Data!$E$2:$E$1249,G22,Data!$L$2:$L$1249,"Yes")</f>
        <v>3</v>
      </c>
      <c r="J22" s="16" t="n">
        <f aca="false">IFERROR(I22/H22,0)</f>
        <v>0.375</v>
      </c>
      <c r="K22" s="17" t="n">
        <f aca="false">I22+H22/1000+ROW()/10000000</f>
        <v>3.0080022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 t="s">
        <v>327</v>
      </c>
      <c r="AF22" s="12" t="n">
        <f aca="false">COUNTIF(Data!$D$2:$D$1249,AE22)</f>
        <v>24</v>
      </c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2" t="s">
        <v>324</v>
      </c>
      <c r="H23" s="12" t="n">
        <f aca="false">COUNTIF(Data!$E$2:$E$1249,G23)</f>
        <v>12</v>
      </c>
      <c r="I23" s="12" t="n">
        <f aca="false">COUNTIFS(Data!$E$2:$E$1249,G23,Data!$L$2:$L$1249,"Yes")</f>
        <v>4</v>
      </c>
      <c r="J23" s="16" t="n">
        <f aca="false">IFERROR(I23/H23,0)</f>
        <v>0.333333333333333</v>
      </c>
      <c r="K23" s="17" t="n">
        <f aca="false">I23+H23/1000+ROW()/10000000</f>
        <v>4.0120023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 t="s">
        <v>144</v>
      </c>
      <c r="AF23" s="12" t="n">
        <f aca="false">COUNTIF(Data!$D$2:$D$1249,AE23)</f>
        <v>23</v>
      </c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2" t="s">
        <v>495</v>
      </c>
      <c r="H24" s="12" t="n">
        <f aca="false">COUNTIF(Data!$E$2:$E$1249,G24)</f>
        <v>15</v>
      </c>
      <c r="I24" s="12" t="n">
        <f aca="false">COUNTIFS(Data!$E$2:$E$1249,G24,Data!$L$2:$L$1249,"Yes")</f>
        <v>6</v>
      </c>
      <c r="J24" s="16" t="n">
        <f aca="false">IFERROR(I24/H24,0)</f>
        <v>0.4</v>
      </c>
      <c r="K24" s="17" t="n">
        <f aca="false">I24+H24/1000+ROW()/10000000</f>
        <v>6.0150024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 t="s">
        <v>163</v>
      </c>
      <c r="AF24" s="12" t="n">
        <f aca="false">COUNTIF(Data!$D$2:$D$1249,AE24)</f>
        <v>22</v>
      </c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2" t="s">
        <v>107</v>
      </c>
      <c r="H25" s="12" t="n">
        <f aca="false">COUNTIF(Data!$E$2:$E$1249,G25)</f>
        <v>10</v>
      </c>
      <c r="I25" s="12" t="n">
        <f aca="false">COUNTIFS(Data!$E$2:$E$1249,G25,Data!$L$2:$L$1249,"Yes")</f>
        <v>3</v>
      </c>
      <c r="J25" s="16" t="n">
        <f aca="false">IFERROR(I25/H25,0)</f>
        <v>0.3</v>
      </c>
      <c r="K25" s="17" t="n">
        <f aca="false">I25+H25/1000+ROW()/10000000</f>
        <v>3.0100025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 t="s">
        <v>91</v>
      </c>
      <c r="AF25" s="12" t="n">
        <f aca="false">COUNTIF(Data!$D$2:$D$1249,AE25)</f>
        <v>17</v>
      </c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2" t="s">
        <v>173</v>
      </c>
      <c r="H26" s="12" t="n">
        <f aca="false">COUNTIF(Data!$E$2:$E$1249,G26)</f>
        <v>23</v>
      </c>
      <c r="I26" s="12" t="n">
        <f aca="false">COUNTIFS(Data!$E$2:$E$1249,G26,Data!$L$2:$L$1249,"Yes")</f>
        <v>11</v>
      </c>
      <c r="J26" s="16" t="n">
        <f aca="false">IFERROR(I26/H26,0)</f>
        <v>0.478260869565217</v>
      </c>
      <c r="K26" s="17" t="n">
        <f aca="false">I26+H26/1000+ROW()/10000000</f>
        <v>11.0230026</v>
      </c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 t="s">
        <v>231</v>
      </c>
      <c r="AF26" s="12" t="n">
        <f aca="false">COUNTIF(Data!$D$2:$D$1249,AE26)</f>
        <v>16</v>
      </c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2" t="s">
        <v>110</v>
      </c>
      <c r="H27" s="12" t="n">
        <f aca="false">COUNTIF(Data!$E$2:$E$1249,G27)</f>
        <v>16</v>
      </c>
      <c r="I27" s="12" t="n">
        <f aca="false">COUNTIFS(Data!$E$2:$E$1249,G27,Data!$L$2:$L$1249,"Yes")</f>
        <v>5</v>
      </c>
      <c r="J27" s="16" t="n">
        <f aca="false">IFERROR(I27/H27,0)</f>
        <v>0.3125</v>
      </c>
      <c r="K27" s="17" t="n">
        <f aca="false">I27+H27/1000+ROW()/10000000</f>
        <v>5.0160027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 t="s">
        <v>126</v>
      </c>
      <c r="AF27" s="12" t="n">
        <f aca="false">COUNTIF(Data!$D$2:$D$1249,AE27)</f>
        <v>13</v>
      </c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2" t="s">
        <v>268</v>
      </c>
      <c r="H28" s="12" t="n">
        <f aca="false">COUNTIF(Data!$E$2:$E$1249,G28)</f>
        <v>36</v>
      </c>
      <c r="I28" s="12" t="n">
        <f aca="false">COUNTIFS(Data!$E$2:$E$1249,G28,Data!$L$2:$L$1249,"Yes")</f>
        <v>16</v>
      </c>
      <c r="J28" s="16" t="n">
        <f aca="false">IFERROR(I28/H28,0)</f>
        <v>0.444444444444444</v>
      </c>
      <c r="K28" s="17" t="n">
        <f aca="false">I28+H28/1000+ROW()/10000000</f>
        <v>16.0360028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 t="s">
        <v>82</v>
      </c>
      <c r="AF28" s="12" t="n">
        <f aca="false">COUNTIF(Data!$D$2:$D$1249,AE28)</f>
        <v>12</v>
      </c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2" t="s">
        <v>83</v>
      </c>
      <c r="H29" s="12" t="n">
        <f aca="false">COUNTIF(Data!$E$2:$E$1249,G29)</f>
        <v>3</v>
      </c>
      <c r="I29" s="12" t="n">
        <f aca="false">COUNTIFS(Data!$E$2:$E$1249,G29,Data!$L$2:$L$1249,"Yes")</f>
        <v>1</v>
      </c>
      <c r="J29" s="16" t="n">
        <f aca="false">IFERROR(I29/H29,0)</f>
        <v>0.333333333333333</v>
      </c>
      <c r="K29" s="17" t="n">
        <f aca="false">I29+H29/1000+ROW()/10000000</f>
        <v>1.0030029</v>
      </c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 t="s">
        <v>474</v>
      </c>
      <c r="AF29" s="12" t="n">
        <f aca="false">COUNTIF(Data!$D$2:$D$1249,AE29)</f>
        <v>12</v>
      </c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2" t="s">
        <v>313</v>
      </c>
      <c r="H30" s="12" t="n">
        <f aca="false">COUNTIF(Data!$E$2:$E$1249,G30)</f>
        <v>7</v>
      </c>
      <c r="I30" s="12" t="n">
        <f aca="false">COUNTIFS(Data!$E$2:$E$1249,G30,Data!$L$2:$L$1249,"Yes")</f>
        <v>2</v>
      </c>
      <c r="J30" s="16" t="n">
        <f aca="false">IFERROR(I30/H30,0)</f>
        <v>0.285714285714286</v>
      </c>
      <c r="K30" s="17" t="n">
        <f aca="false">I30+H30/1000+ROW()/10000000</f>
        <v>2.007003</v>
      </c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 t="s">
        <v>149</v>
      </c>
      <c r="AF30" s="12" t="n">
        <f aca="false">COUNTIF(Data!$D$2:$D$1249,AE30)</f>
        <v>10</v>
      </c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2" t="s">
        <v>121</v>
      </c>
      <c r="H31" s="12" t="n">
        <f aca="false">COUNTIF(Data!$E$2:$E$1249,G31)</f>
        <v>20</v>
      </c>
      <c r="I31" s="12" t="n">
        <f aca="false">COUNTIFS(Data!$E$2:$E$1249,G31,Data!$L$2:$L$1249,"Yes")</f>
        <v>4</v>
      </c>
      <c r="J31" s="16" t="n">
        <f aca="false">IFERROR(I31/H31,0)</f>
        <v>0.2</v>
      </c>
      <c r="K31" s="17" t="n">
        <f aca="false">I31+H31/1000+ROW()/10000000</f>
        <v>4.0200031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 t="s">
        <v>202</v>
      </c>
      <c r="AF31" s="12" t="n">
        <f aca="false">COUNTIF(Data!$D$2:$D$1249,AE31)</f>
        <v>9</v>
      </c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2" t="s">
        <v>56</v>
      </c>
      <c r="H32" s="12" t="n">
        <f aca="false">COUNTIF(Data!$E$2:$E$1249,G32)</f>
        <v>18</v>
      </c>
      <c r="I32" s="12" t="n">
        <f aca="false">COUNTIFS(Data!$E$2:$E$1249,G32,Data!$L$2:$L$1249,"Yes")</f>
        <v>4</v>
      </c>
      <c r="J32" s="16" t="n">
        <f aca="false">IFERROR(I32/H32,0)</f>
        <v>0.222222222222222</v>
      </c>
      <c r="K32" s="17" t="n">
        <f aca="false">I32+H32/1000+ROW()/10000000</f>
        <v>4.0180032</v>
      </c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 t="s">
        <v>581</v>
      </c>
      <c r="AF32" s="12" t="n">
        <f aca="false">COUNTIF(Data!$D$2:$D$1249,AE32)</f>
        <v>9</v>
      </c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2" t="s">
        <v>332</v>
      </c>
      <c r="H33" s="12" t="n">
        <f aca="false">COUNTIF(Data!$E$2:$E$1249,G33)</f>
        <v>11</v>
      </c>
      <c r="I33" s="12" t="n">
        <f aca="false">COUNTIFS(Data!$E$2:$E$1249,G33,Data!$L$2:$L$1249,"Yes")</f>
        <v>1</v>
      </c>
      <c r="J33" s="16" t="n">
        <f aca="false">IFERROR(I33/H33,0)</f>
        <v>0.0909090909090909</v>
      </c>
      <c r="K33" s="17" t="n">
        <f aca="false">I33+H33/1000+ROW()/10000000</f>
        <v>1.0110033</v>
      </c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 t="s">
        <v>668</v>
      </c>
      <c r="AF33" s="12" t="n">
        <f aca="false">COUNTIF(Data!$D$2:$D$1249,AE33)</f>
        <v>8</v>
      </c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2" t="s">
        <v>118</v>
      </c>
      <c r="H34" s="12" t="n">
        <f aca="false">COUNTIF(Data!$E$2:$E$1249,G34)</f>
        <v>14</v>
      </c>
      <c r="I34" s="12" t="n">
        <f aca="false">COUNTIFS(Data!$E$2:$E$1249,G34,Data!$L$2:$L$1249,"Yes")</f>
        <v>6</v>
      </c>
      <c r="J34" s="16" t="n">
        <f aca="false">IFERROR(I34/H34,0)</f>
        <v>0.428571428571429</v>
      </c>
      <c r="K34" s="17" t="n">
        <f aca="false">I34+H34/1000+ROW()/10000000</f>
        <v>6.0140034</v>
      </c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2" t="s">
        <v>96</v>
      </c>
      <c r="H35" s="12" t="n">
        <f aca="false">COUNTIF(Data!$E$2:$E$1249,G35)</f>
        <v>9</v>
      </c>
      <c r="I35" s="12" t="n">
        <f aca="false">COUNTIFS(Data!$E$2:$E$1249,G35,Data!$L$2:$L$1249,"Yes")</f>
        <v>5</v>
      </c>
      <c r="J35" s="16" t="n">
        <f aca="false">IFERROR(I35/H35,0)</f>
        <v>0.555555555555556</v>
      </c>
      <c r="K35" s="17" t="n">
        <f aca="false">I35+H35/1000+ROW()/10000000</f>
        <v>5.0090035</v>
      </c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2" t="s">
        <v>239</v>
      </c>
      <c r="H36" s="12" t="n">
        <f aca="false">COUNTIF(Data!$E$2:$E$1249,G36)</f>
        <v>17</v>
      </c>
      <c r="I36" s="12" t="n">
        <f aca="false">COUNTIFS(Data!$E$2:$E$1249,G36,Data!$L$2:$L$1249,"Yes")</f>
        <v>0</v>
      </c>
      <c r="J36" s="16" t="n">
        <f aca="false">IFERROR(I36/H36,0)</f>
        <v>0</v>
      </c>
      <c r="K36" s="17" t="n">
        <f aca="false">I36+H36/1000+ROW()/10000000</f>
        <v>0.0170036</v>
      </c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12"/>
      <c r="G37" s="12" t="s">
        <v>51</v>
      </c>
      <c r="H37" s="12" t="n">
        <f aca="false">COUNTIF(Data!$E$2:$E$1249,G37)</f>
        <v>13</v>
      </c>
      <c r="I37" s="12" t="n">
        <f aca="false">COUNTIFS(Data!$E$2:$E$1249,G37,Data!$L$2:$L$1249,"Yes")</f>
        <v>7</v>
      </c>
      <c r="J37" s="16" t="n">
        <f aca="false">IFERROR(I37/H37,0)</f>
        <v>0.538461538461538</v>
      </c>
      <c r="K37" s="17" t="n">
        <f aca="false">I37+H37/1000+ROW()/10000000</f>
        <v>7.0130037</v>
      </c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2"/>
      <c r="G38" s="12" t="s">
        <v>261</v>
      </c>
      <c r="H38" s="12" t="n">
        <f aca="false">COUNTIF(Data!$E$2:$E$1249,G38)</f>
        <v>16</v>
      </c>
      <c r="I38" s="12" t="n">
        <f aca="false">COUNTIFS(Data!$E$2:$E$1249,G38,Data!$L$2:$L$1249,"Yes")</f>
        <v>7</v>
      </c>
      <c r="J38" s="16" t="n">
        <f aca="false">IFERROR(I38/H38,0)</f>
        <v>0.4375</v>
      </c>
      <c r="K38" s="17" t="n">
        <f aca="false">I38+H38/1000+ROW()/10000000</f>
        <v>7.0160038</v>
      </c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12"/>
      <c r="G39" s="12" t="s">
        <v>156</v>
      </c>
      <c r="H39" s="12" t="n">
        <f aca="false">COUNTIF(Data!$E$2:$E$1249,G39)</f>
        <v>11</v>
      </c>
      <c r="I39" s="12" t="n">
        <f aca="false">COUNTIFS(Data!$E$2:$E$1249,G39,Data!$L$2:$L$1249,"Yes")</f>
        <v>3</v>
      </c>
      <c r="J39" s="16" t="n">
        <f aca="false">IFERROR(I39/H39,0)</f>
        <v>0.272727272727273</v>
      </c>
      <c r="K39" s="17" t="n">
        <f aca="false">I39+H39/1000+ROW()/10000000</f>
        <v>3.0110039</v>
      </c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12"/>
      <c r="G40" s="12" t="s">
        <v>352</v>
      </c>
      <c r="H40" s="12" t="n">
        <f aca="false">COUNTIF(Data!$E$2:$E$1249,G40)</f>
        <v>14</v>
      </c>
      <c r="I40" s="12" t="n">
        <f aca="false">COUNTIFS(Data!$E$2:$E$1249,G40,Data!$L$2:$L$1249,"Yes")</f>
        <v>7</v>
      </c>
      <c r="J40" s="16" t="n">
        <f aca="false">IFERROR(I40/H40,0)</f>
        <v>0.5</v>
      </c>
      <c r="K40" s="17" t="n">
        <f aca="false">I40+H40/1000+ROW()/10000000</f>
        <v>7.014004</v>
      </c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</row>
    <row r="41" customFormat="false" ht="15" hidden="false" customHeight="false" outlineLevel="0" collapsed="false">
      <c r="A41" s="12"/>
      <c r="B41" s="12"/>
      <c r="C41" s="12"/>
      <c r="D41" s="12"/>
      <c r="E41" s="12"/>
      <c r="F41" s="12"/>
      <c r="G41" s="12" t="s">
        <v>198</v>
      </c>
      <c r="H41" s="12" t="n">
        <f aca="false">COUNTIF(Data!$E$2:$E$1249,G41)</f>
        <v>5</v>
      </c>
      <c r="I41" s="12" t="n">
        <f aca="false">COUNTIFS(Data!$E$2:$E$1249,G41,Data!$L$2:$L$1249,"Yes")</f>
        <v>4</v>
      </c>
      <c r="J41" s="16" t="n">
        <f aca="false">IFERROR(I41/H41,0)</f>
        <v>0.8</v>
      </c>
      <c r="K41" s="17" t="n">
        <f aca="false">I41+H41/1000+ROW()/10000000</f>
        <v>4.0050041</v>
      </c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12"/>
      <c r="G42" s="12" t="s">
        <v>530</v>
      </c>
      <c r="H42" s="12" t="n">
        <f aca="false">COUNTIF(Data!$E$2:$E$1249,G42)</f>
        <v>11</v>
      </c>
      <c r="I42" s="12" t="n">
        <f aca="false">COUNTIFS(Data!$E$2:$E$1249,G42,Data!$L$2:$L$1249,"Yes")</f>
        <v>1</v>
      </c>
      <c r="J42" s="16" t="n">
        <f aca="false">IFERROR(I42/H42,0)</f>
        <v>0.0909090909090909</v>
      </c>
      <c r="K42" s="17" t="n">
        <f aca="false">I42+H42/1000+ROW()/10000000</f>
        <v>1.0110042</v>
      </c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12"/>
      <c r="G43" s="12" t="s">
        <v>287</v>
      </c>
      <c r="H43" s="12" t="n">
        <f aca="false">COUNTIF(Data!$E$2:$E$1249,G43)</f>
        <v>10</v>
      </c>
      <c r="I43" s="12" t="n">
        <f aca="false">COUNTIFS(Data!$E$2:$E$1249,G43,Data!$L$2:$L$1249,"Yes")</f>
        <v>3</v>
      </c>
      <c r="J43" s="16" t="n">
        <f aca="false">IFERROR(I43/H43,0)</f>
        <v>0.3</v>
      </c>
      <c r="K43" s="17" t="n">
        <f aca="false">I43+H43/1000+ROW()/10000000</f>
        <v>3.0100043</v>
      </c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2"/>
      <c r="G44" s="12" t="s">
        <v>36</v>
      </c>
      <c r="H44" s="12" t="n">
        <f aca="false">COUNTIF(Data!$E$2:$E$1249,G44)</f>
        <v>39</v>
      </c>
      <c r="I44" s="12" t="n">
        <f aca="false">COUNTIFS(Data!$E$2:$E$1249,G44,Data!$L$2:$L$1249,"Yes")</f>
        <v>15</v>
      </c>
      <c r="J44" s="16" t="n">
        <f aca="false">IFERROR(I44/H44,0)</f>
        <v>0.384615384615385</v>
      </c>
      <c r="K44" s="17" t="n">
        <f aca="false">I44+H44/1000+ROW()/10000000</f>
        <v>15.0390044</v>
      </c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12"/>
      <c r="G45" s="12" t="s">
        <v>150</v>
      </c>
      <c r="H45" s="12" t="n">
        <f aca="false">COUNTIF(Data!$E$2:$E$1249,G45)</f>
        <v>16</v>
      </c>
      <c r="I45" s="12" t="n">
        <f aca="false">COUNTIFS(Data!$E$2:$E$1249,G45,Data!$L$2:$L$1249,"Yes")</f>
        <v>8</v>
      </c>
      <c r="J45" s="16" t="n">
        <f aca="false">IFERROR(I45/H45,0)</f>
        <v>0.5</v>
      </c>
      <c r="K45" s="17" t="n">
        <f aca="false">I45+H45/1000+ROW()/10000000</f>
        <v>8.0160045</v>
      </c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12"/>
      <c r="G46" s="12" t="s">
        <v>301</v>
      </c>
      <c r="H46" s="12" t="n">
        <f aca="false">COUNTIF(Data!$E$2:$E$1249,G46)</f>
        <v>17</v>
      </c>
      <c r="I46" s="12" t="n">
        <f aca="false">COUNTIFS(Data!$E$2:$E$1249,G46,Data!$L$2:$L$1249,"Yes")</f>
        <v>10</v>
      </c>
      <c r="J46" s="16" t="n">
        <f aca="false">IFERROR(I46/H46,0)</f>
        <v>0.588235294117647</v>
      </c>
      <c r="K46" s="17" t="n">
        <f aca="false">I46+H46/1000+ROW()/10000000</f>
        <v>10.0170046</v>
      </c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</row>
    <row r="47" customFormat="false" ht="15" hidden="false" customHeight="false" outlineLevel="0" collapsed="false">
      <c r="A47" s="12"/>
      <c r="B47" s="12"/>
      <c r="C47" s="12"/>
      <c r="D47" s="12"/>
      <c r="E47" s="12"/>
      <c r="F47" s="12"/>
      <c r="G47" s="12" t="s">
        <v>124</v>
      </c>
      <c r="H47" s="12" t="n">
        <f aca="false">COUNTIF(Data!$E$2:$E$1249,G47)</f>
        <v>6</v>
      </c>
      <c r="I47" s="12" t="n">
        <f aca="false">COUNTIFS(Data!$E$2:$E$1249,G47,Data!$L$2:$L$1249,"Yes")</f>
        <v>0</v>
      </c>
      <c r="J47" s="16" t="n">
        <f aca="false">IFERROR(I47/H47,0)</f>
        <v>0</v>
      </c>
      <c r="K47" s="17" t="n">
        <f aca="false">I47+H47/1000+ROW()/10000000</f>
        <v>0.0060047</v>
      </c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12"/>
      <c r="G48" s="12" t="s">
        <v>272</v>
      </c>
      <c r="H48" s="12" t="n">
        <f aca="false">COUNTIF(Data!$E$2:$E$1249,G48)</f>
        <v>16</v>
      </c>
      <c r="I48" s="12" t="n">
        <f aca="false">COUNTIFS(Data!$E$2:$E$1249,G48,Data!$L$2:$L$1249,"Yes")</f>
        <v>7</v>
      </c>
      <c r="J48" s="16" t="n">
        <f aca="false">IFERROR(I48/H48,0)</f>
        <v>0.4375</v>
      </c>
      <c r="K48" s="17" t="n">
        <f aca="false">I48+H48/1000+ROW()/10000000</f>
        <v>7.0160048</v>
      </c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</row>
    <row r="49" customFormat="false" ht="15" hidden="false" customHeight="false" outlineLevel="0" collapsed="false">
      <c r="A49" s="12"/>
      <c r="B49" s="12"/>
      <c r="C49" s="12"/>
      <c r="D49" s="12"/>
      <c r="E49" s="12"/>
      <c r="F49" s="12"/>
      <c r="G49" s="12" t="s">
        <v>369</v>
      </c>
      <c r="H49" s="12" t="n">
        <f aca="false">COUNTIF(Data!$E$2:$E$1249,G49)</f>
        <v>14</v>
      </c>
      <c r="I49" s="12" t="n">
        <f aca="false">COUNTIFS(Data!$E$2:$E$1249,G49,Data!$L$2:$L$1249,"Yes")</f>
        <v>3</v>
      </c>
      <c r="J49" s="16" t="n">
        <f aca="false">IFERROR(I49/H49,0)</f>
        <v>0.214285714285714</v>
      </c>
      <c r="K49" s="17" t="n">
        <f aca="false">I49+H49/1000+ROW()/10000000</f>
        <v>3.0140049</v>
      </c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</row>
    <row r="50" customFormat="false" ht="15" hidden="false" customHeight="false" outlineLevel="0" collapsed="false">
      <c r="A50" s="12"/>
      <c r="B50" s="12"/>
      <c r="C50" s="12"/>
      <c r="D50" s="12"/>
      <c r="E50" s="12"/>
      <c r="F50" s="12"/>
      <c r="G50" s="12" t="s">
        <v>127</v>
      </c>
      <c r="H50" s="12" t="n">
        <f aca="false">COUNTIF(Data!$E$2:$E$1249,G50)</f>
        <v>15</v>
      </c>
      <c r="I50" s="12" t="n">
        <f aca="false">COUNTIFS(Data!$E$2:$E$1249,G50,Data!$L$2:$L$1249,"Yes")</f>
        <v>9</v>
      </c>
      <c r="J50" s="16" t="n">
        <f aca="false">IFERROR(I50/H50,0)</f>
        <v>0.6</v>
      </c>
      <c r="K50" s="17" t="n">
        <f aca="false">I50+H50/1000+ROW()/10000000</f>
        <v>9.015005</v>
      </c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</row>
    <row r="51" customFormat="false" ht="15" hidden="false" customHeight="false" outlineLevel="0" collapsed="false">
      <c r="A51" s="12"/>
      <c r="B51" s="12"/>
      <c r="C51" s="12"/>
      <c r="D51" s="12"/>
      <c r="E51" s="12"/>
      <c r="F51" s="12"/>
      <c r="G51" s="12" t="s">
        <v>304</v>
      </c>
      <c r="H51" s="12" t="n">
        <f aca="false">COUNTIF(Data!$E$2:$E$1249,G51)</f>
        <v>14</v>
      </c>
      <c r="I51" s="12" t="n">
        <f aca="false">COUNTIFS(Data!$E$2:$E$1249,G51,Data!$L$2:$L$1249,"Yes")</f>
        <v>1</v>
      </c>
      <c r="J51" s="16" t="n">
        <f aca="false">IFERROR(I51/H51,0)</f>
        <v>0.0714285714285714</v>
      </c>
      <c r="K51" s="17" t="n">
        <f aca="false">I51+H51/1000+ROW()/10000000</f>
        <v>1.0140051</v>
      </c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</row>
    <row r="52" customFormat="false" ht="15" hidden="false" customHeight="false" outlineLevel="0" collapsed="false">
      <c r="A52" s="12"/>
      <c r="B52" s="12"/>
      <c r="C52" s="12"/>
      <c r="D52" s="12"/>
      <c r="E52" s="12"/>
      <c r="F52" s="12"/>
      <c r="G52" s="12" t="s">
        <v>538</v>
      </c>
      <c r="H52" s="12" t="n">
        <f aca="false">COUNTIF(Data!$E$2:$E$1249,G52)</f>
        <v>8</v>
      </c>
      <c r="I52" s="12" t="n">
        <f aca="false">COUNTIFS(Data!$E$2:$E$1249,G52,Data!$L$2:$L$1249,"Yes")</f>
        <v>5</v>
      </c>
      <c r="J52" s="16" t="n">
        <f aca="false">IFERROR(I52/H52,0)</f>
        <v>0.625</v>
      </c>
      <c r="K52" s="17" t="n">
        <f aca="false">I52+H52/1000+ROW()/10000000</f>
        <v>5.0080052</v>
      </c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</row>
    <row r="53" customFormat="false" ht="15" hidden="false" customHeight="false" outlineLevel="0" collapsed="false">
      <c r="A53" s="12"/>
      <c r="B53" s="12"/>
      <c r="C53" s="12"/>
      <c r="D53" s="12"/>
      <c r="E53" s="12"/>
      <c r="F53" s="12"/>
      <c r="G53" s="12" t="s">
        <v>821</v>
      </c>
      <c r="H53" s="12" t="n">
        <f aca="false">COUNTIF(Data!$E$2:$E$1249,G53)</f>
        <v>3</v>
      </c>
      <c r="I53" s="12" t="n">
        <f aca="false">COUNTIFS(Data!$E$2:$E$1249,G53,Data!$L$2:$L$1249,"Yes")</f>
        <v>0</v>
      </c>
      <c r="J53" s="16" t="n">
        <f aca="false">IFERROR(I53/H53,0)</f>
        <v>0</v>
      </c>
      <c r="K53" s="17" t="n">
        <f aca="false">I53+H53/1000+ROW()/10000000</f>
        <v>0.0030053</v>
      </c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</row>
    <row r="54" customFormat="false" ht="15" hidden="false" customHeight="false" outlineLevel="0" collapsed="false">
      <c r="A54" s="12"/>
      <c r="B54" s="12"/>
      <c r="C54" s="12"/>
      <c r="D54" s="12"/>
      <c r="E54" s="12"/>
      <c r="F54" s="12"/>
      <c r="G54" s="12" t="s">
        <v>130</v>
      </c>
      <c r="H54" s="12" t="n">
        <f aca="false">COUNTIF(Data!$E$2:$E$1249,G54)</f>
        <v>12</v>
      </c>
      <c r="I54" s="12" t="n">
        <f aca="false">COUNTIFS(Data!$E$2:$E$1249,G54,Data!$L$2:$L$1249,"Yes")</f>
        <v>0</v>
      </c>
      <c r="J54" s="16" t="n">
        <f aca="false">IFERROR(I54/H54,0)</f>
        <v>0</v>
      </c>
      <c r="K54" s="17" t="n">
        <f aca="false">I54+H54/1000+ROW()/10000000</f>
        <v>0.0120054</v>
      </c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</row>
    <row r="55" customFormat="false" ht="15" hidden="false" customHeight="false" outlineLevel="0" collapsed="false">
      <c r="A55" s="12"/>
      <c r="B55" s="12"/>
      <c r="C55" s="12"/>
      <c r="D55" s="12"/>
      <c r="E55" s="12"/>
      <c r="F55" s="12"/>
      <c r="G55" s="12" t="s">
        <v>243</v>
      </c>
      <c r="H55" s="12" t="n">
        <f aca="false">COUNTIF(Data!$E$2:$E$1249,G55)</f>
        <v>38</v>
      </c>
      <c r="I55" s="12" t="n">
        <f aca="false">COUNTIFS(Data!$E$2:$E$1249,G55,Data!$L$2:$L$1249,"Yes")</f>
        <v>11</v>
      </c>
      <c r="J55" s="16" t="n">
        <f aca="false">IFERROR(I55/H55,0)</f>
        <v>0.289473684210526</v>
      </c>
      <c r="K55" s="17" t="n">
        <f aca="false">I55+H55/1000+ROW()/10000000</f>
        <v>11.0380055</v>
      </c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</row>
    <row r="56" customFormat="false" ht="15" hidden="false" customHeight="false" outlineLevel="0" collapsed="false">
      <c r="A56" s="12"/>
      <c r="B56" s="12"/>
      <c r="C56" s="12"/>
      <c r="D56" s="12"/>
      <c r="E56" s="12"/>
      <c r="F56" s="12"/>
      <c r="G56" s="12" t="s">
        <v>65</v>
      </c>
      <c r="H56" s="12" t="n">
        <f aca="false">COUNTIF(Data!$E$2:$E$1249,G56)</f>
        <v>11</v>
      </c>
      <c r="I56" s="12" t="n">
        <f aca="false">COUNTIFS(Data!$E$2:$E$1249,G56,Data!$L$2:$L$1249,"Yes")</f>
        <v>8</v>
      </c>
      <c r="J56" s="16" t="n">
        <f aca="false">IFERROR(I56/H56,0)</f>
        <v>0.727272727272727</v>
      </c>
      <c r="K56" s="17" t="n">
        <f aca="false">I56+H56/1000+ROW()/10000000</f>
        <v>8.0110056</v>
      </c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</row>
    <row r="57" customFormat="false" ht="15" hidden="false" customHeight="false" outlineLevel="0" collapsed="false">
      <c r="A57" s="12"/>
      <c r="B57" s="12"/>
      <c r="C57" s="12"/>
      <c r="D57" s="12"/>
      <c r="E57" s="12"/>
      <c r="F57" s="12"/>
      <c r="G57" s="12" t="s">
        <v>407</v>
      </c>
      <c r="H57" s="12" t="n">
        <f aca="false">COUNTIF(Data!$E$2:$E$1249,G57)</f>
        <v>13</v>
      </c>
      <c r="I57" s="12" t="n">
        <f aca="false">COUNTIFS(Data!$E$2:$E$1249,G57,Data!$L$2:$L$1249,"Yes")</f>
        <v>5</v>
      </c>
      <c r="J57" s="16" t="n">
        <f aca="false">IFERROR(I57/H57,0)</f>
        <v>0.384615384615385</v>
      </c>
      <c r="K57" s="17" t="n">
        <f aca="false">I57+H57/1000+ROW()/10000000</f>
        <v>5.0130057</v>
      </c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</row>
    <row r="58" customFormat="false" ht="15" hidden="false" customHeight="false" outlineLevel="0" collapsed="false">
      <c r="A58" s="12"/>
      <c r="B58" s="12"/>
      <c r="C58" s="12"/>
      <c r="D58" s="12"/>
      <c r="E58" s="12"/>
      <c r="F58" s="12"/>
      <c r="G58" s="12" t="s">
        <v>280</v>
      </c>
      <c r="H58" s="12" t="n">
        <f aca="false">COUNTIF(Data!$E$2:$E$1249,G58)</f>
        <v>13</v>
      </c>
      <c r="I58" s="12" t="n">
        <f aca="false">COUNTIFS(Data!$E$2:$E$1249,G58,Data!$L$2:$L$1249,"Yes")</f>
        <v>1</v>
      </c>
      <c r="J58" s="16" t="n">
        <f aca="false">IFERROR(I58/H58,0)</f>
        <v>0.0769230769230769</v>
      </c>
      <c r="K58" s="17" t="n">
        <f aca="false">I58+H58/1000+ROW()/10000000</f>
        <v>1.0130058</v>
      </c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</row>
    <row r="59" customFormat="false" ht="15" hidden="false" customHeight="false" outlineLevel="0" collapsed="false">
      <c r="A59" s="12"/>
      <c r="B59" s="12"/>
      <c r="C59" s="12"/>
      <c r="D59" s="12"/>
      <c r="E59" s="12"/>
      <c r="F59" s="12"/>
      <c r="G59" s="12" t="s">
        <v>160</v>
      </c>
      <c r="H59" s="12" t="n">
        <f aca="false">COUNTIF(Data!$E$2:$E$1249,G59)</f>
        <v>5</v>
      </c>
      <c r="I59" s="12" t="n">
        <f aca="false">COUNTIFS(Data!$E$2:$E$1249,G59,Data!$L$2:$L$1249,"Yes")</f>
        <v>0</v>
      </c>
      <c r="J59" s="16" t="n">
        <f aca="false">IFERROR(I59/H59,0)</f>
        <v>0</v>
      </c>
      <c r="K59" s="17" t="n">
        <f aca="false">I59+H59/1000+ROW()/10000000</f>
        <v>0.0050059</v>
      </c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</row>
    <row r="60" customFormat="false" ht="15" hidden="false" customHeight="false" outlineLevel="0" collapsed="false">
      <c r="A60" s="12"/>
      <c r="B60" s="12"/>
      <c r="C60" s="12"/>
      <c r="D60" s="12"/>
      <c r="E60" s="12"/>
      <c r="F60" s="12"/>
      <c r="G60" s="12" t="s">
        <v>70</v>
      </c>
      <c r="H60" s="12" t="n">
        <f aca="false">COUNTIF(Data!$E$2:$E$1249,G60)</f>
        <v>15</v>
      </c>
      <c r="I60" s="12" t="n">
        <f aca="false">COUNTIFS(Data!$E$2:$E$1249,G60,Data!$L$2:$L$1249,"Yes")</f>
        <v>8</v>
      </c>
      <c r="J60" s="16" t="n">
        <f aca="false">IFERROR(I60/H60,0)</f>
        <v>0.533333333333333</v>
      </c>
      <c r="K60" s="17" t="n">
        <f aca="false">I60+H60/1000+ROW()/10000000</f>
        <v>8.015006</v>
      </c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</row>
    <row r="61" customFormat="false" ht="15" hidden="false" customHeight="false" outlineLevel="0" collapsed="false">
      <c r="A61" s="12"/>
      <c r="B61" s="12"/>
      <c r="C61" s="12"/>
      <c r="D61" s="12"/>
      <c r="E61" s="12"/>
      <c r="F61" s="12"/>
      <c r="G61" s="12" t="s">
        <v>398</v>
      </c>
      <c r="H61" s="12" t="n">
        <f aca="false">COUNTIF(Data!$E$2:$E$1249,G61)</f>
        <v>17</v>
      </c>
      <c r="I61" s="12" t="n">
        <f aca="false">COUNTIFS(Data!$E$2:$E$1249,G61,Data!$L$2:$L$1249,"Yes")</f>
        <v>7</v>
      </c>
      <c r="J61" s="16" t="n">
        <f aca="false">IFERROR(I61/H61,0)</f>
        <v>0.411764705882353</v>
      </c>
      <c r="K61" s="17" t="n">
        <f aca="false">I61+H61/1000+ROW()/10000000</f>
        <v>7.0170061</v>
      </c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</row>
    <row r="62" customFormat="false" ht="15" hidden="false" customHeight="false" outlineLevel="0" collapsed="false">
      <c r="A62" s="12"/>
      <c r="B62" s="12"/>
      <c r="C62" s="12"/>
      <c r="D62" s="12"/>
      <c r="E62" s="12"/>
      <c r="F62" s="12"/>
      <c r="G62" s="12" t="s">
        <v>204</v>
      </c>
      <c r="H62" s="12" t="n">
        <f aca="false">COUNTIF(Data!$E$2:$E$1249,G62)</f>
        <v>8</v>
      </c>
      <c r="I62" s="12" t="n">
        <f aca="false">COUNTIFS(Data!$E$2:$E$1249,G62,Data!$L$2:$L$1249,"Yes")</f>
        <v>2</v>
      </c>
      <c r="J62" s="16" t="n">
        <f aca="false">IFERROR(I62/H62,0)</f>
        <v>0.25</v>
      </c>
      <c r="K62" s="17" t="n">
        <f aca="false">I62+H62/1000+ROW()/10000000</f>
        <v>2.0080062</v>
      </c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</row>
    <row r="63" customFormat="false" ht="15" hidden="false" customHeight="false" outlineLevel="0" collapsed="false">
      <c r="A63" s="12"/>
      <c r="B63" s="12"/>
      <c r="C63" s="12"/>
      <c r="D63" s="12"/>
      <c r="E63" s="12"/>
      <c r="F63" s="12"/>
      <c r="G63" s="12" t="s">
        <v>498</v>
      </c>
      <c r="H63" s="12" t="n">
        <f aca="false">COUNTIF(Data!$E$2:$E$1249,G63)</f>
        <v>11</v>
      </c>
      <c r="I63" s="12" t="n">
        <f aca="false">COUNTIFS(Data!$E$2:$E$1249,G63,Data!$L$2:$L$1249,"Yes")</f>
        <v>1</v>
      </c>
      <c r="J63" s="16" t="n">
        <f aca="false">IFERROR(I63/H63,0)</f>
        <v>0.0909090909090909</v>
      </c>
      <c r="K63" s="17" t="n">
        <f aca="false">I63+H63/1000+ROW()/10000000</f>
        <v>1.0110063</v>
      </c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</row>
    <row r="64" customFormat="false" ht="15" hidden="false" customHeight="false" outlineLevel="0" collapsed="false">
      <c r="A64" s="12"/>
      <c r="B64" s="12"/>
      <c r="C64" s="12"/>
      <c r="D64" s="12"/>
      <c r="E64" s="12"/>
      <c r="F64" s="12"/>
      <c r="G64" s="12" t="s">
        <v>383</v>
      </c>
      <c r="H64" s="12" t="n">
        <f aca="false">COUNTIF(Data!$E$2:$E$1249,G64)</f>
        <v>21</v>
      </c>
      <c r="I64" s="12" t="n">
        <f aca="false">COUNTIFS(Data!$E$2:$E$1249,G64,Data!$L$2:$L$1249,"Yes")</f>
        <v>1</v>
      </c>
      <c r="J64" s="16" t="n">
        <f aca="false">IFERROR(I64/H64,0)</f>
        <v>0.0476190476190476</v>
      </c>
      <c r="K64" s="17" t="n">
        <f aca="false">I64+H64/1000+ROW()/10000000</f>
        <v>1.0210064</v>
      </c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</row>
    <row r="65" customFormat="false" ht="15" hidden="false" customHeight="false" outlineLevel="0" collapsed="false">
      <c r="A65" s="12"/>
      <c r="B65" s="12"/>
      <c r="C65" s="12"/>
      <c r="D65" s="12"/>
      <c r="E65" s="12"/>
      <c r="F65" s="12"/>
      <c r="G65" s="12" t="s">
        <v>374</v>
      </c>
      <c r="H65" s="12" t="n">
        <f aca="false">COUNTIF(Data!$E$2:$E$1249,G65)</f>
        <v>12</v>
      </c>
      <c r="I65" s="12" t="n">
        <f aca="false">COUNTIFS(Data!$E$2:$E$1249,G65,Data!$L$2:$L$1249,"Yes")</f>
        <v>7</v>
      </c>
      <c r="J65" s="16" t="n">
        <f aca="false">IFERROR(I65/H65,0)</f>
        <v>0.583333333333333</v>
      </c>
      <c r="K65" s="17" t="n">
        <f aca="false">I65+H65/1000+ROW()/10000000</f>
        <v>7.0120065</v>
      </c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</row>
    <row r="66" customFormat="false" ht="15" hidden="false" customHeight="false" outlineLevel="0" collapsed="false">
      <c r="A66" s="12"/>
      <c r="B66" s="12"/>
      <c r="C66" s="12"/>
      <c r="D66" s="12"/>
      <c r="E66" s="12"/>
      <c r="F66" s="12"/>
      <c r="G66" s="12" t="s">
        <v>225</v>
      </c>
      <c r="H66" s="12" t="n">
        <f aca="false">COUNTIF(Data!$E$2:$E$1249,G66)</f>
        <v>17</v>
      </c>
      <c r="I66" s="12" t="n">
        <f aca="false">COUNTIFS(Data!$E$2:$E$1249,G66,Data!$L$2:$L$1249,"Yes")</f>
        <v>2</v>
      </c>
      <c r="J66" s="16" t="n">
        <f aca="false">IFERROR(I66/H66,0)</f>
        <v>0.117647058823529</v>
      </c>
      <c r="K66" s="17" t="n">
        <f aca="false">I66+H66/1000+ROW()/10000000</f>
        <v>2.0170066</v>
      </c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</row>
    <row r="67" customFormat="false" ht="15" hidden="false" customHeight="false" outlineLevel="0" collapsed="false">
      <c r="A67" s="12"/>
      <c r="B67" s="12"/>
      <c r="C67" s="12"/>
      <c r="D67" s="12"/>
      <c r="E67" s="12"/>
      <c r="F67" s="12"/>
      <c r="G67" s="12" t="s">
        <v>227</v>
      </c>
      <c r="H67" s="12" t="n">
        <f aca="false">COUNTIF(Data!$E$2:$E$1249,G67)</f>
        <v>27</v>
      </c>
      <c r="I67" s="12" t="n">
        <f aca="false">COUNTIFS(Data!$E$2:$E$1249,G67,Data!$L$2:$L$1249,"Yes")</f>
        <v>12</v>
      </c>
      <c r="J67" s="16" t="n">
        <f aca="false">IFERROR(I67/H67,0)</f>
        <v>0.444444444444444</v>
      </c>
      <c r="K67" s="17" t="n">
        <f aca="false">I67+H67/1000+ROW()/10000000</f>
        <v>12.0270067</v>
      </c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</row>
    <row r="68" customFormat="false" ht="15" hidden="false" customHeight="false" outlineLevel="0" collapsed="false">
      <c r="A68" s="12"/>
      <c r="B68" s="12"/>
      <c r="C68" s="12"/>
      <c r="D68" s="12"/>
      <c r="E68" s="12"/>
      <c r="F68" s="12"/>
      <c r="G68" s="12" t="s">
        <v>213</v>
      </c>
      <c r="H68" s="12" t="n">
        <f aca="false">COUNTIF(Data!$E$2:$E$1249,G68)</f>
        <v>7</v>
      </c>
      <c r="I68" s="12" t="n">
        <f aca="false">COUNTIFS(Data!$E$2:$E$1249,G68,Data!$L$2:$L$1249,"Yes")</f>
        <v>2</v>
      </c>
      <c r="J68" s="16" t="n">
        <f aca="false">IFERROR(I68/H68,0)</f>
        <v>0.285714285714286</v>
      </c>
      <c r="K68" s="17" t="n">
        <f aca="false">I68+H68/1000+ROW()/10000000</f>
        <v>2.0070068</v>
      </c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</row>
    <row r="69" customFormat="false" ht="15" hidden="false" customHeight="false" outlineLevel="0" collapsed="false">
      <c r="A69" s="12"/>
      <c r="B69" s="12"/>
      <c r="C69" s="12"/>
      <c r="D69" s="12"/>
      <c r="E69" s="12"/>
      <c r="F69" s="12"/>
      <c r="G69" s="12" t="s">
        <v>113</v>
      </c>
      <c r="H69" s="12" t="n">
        <f aca="false">COUNTIF(Data!$E$2:$E$1249,G69)</f>
        <v>21</v>
      </c>
      <c r="I69" s="12" t="n">
        <f aca="false">COUNTIFS(Data!$E$2:$E$1249,G69,Data!$L$2:$L$1249,"Yes")</f>
        <v>10</v>
      </c>
      <c r="J69" s="16" t="n">
        <f aca="false">IFERROR(I69/H69,0)</f>
        <v>0.476190476190476</v>
      </c>
      <c r="K69" s="17" t="n">
        <f aca="false">I69+H69/1000+ROW()/10000000</f>
        <v>10.0210069</v>
      </c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</row>
    <row r="70" customFormat="false" ht="15" hidden="false" customHeight="false" outlineLevel="0" collapsed="false">
      <c r="A70" s="12"/>
      <c r="B70" s="12"/>
      <c r="C70" s="12"/>
      <c r="D70" s="12"/>
      <c r="E70" s="12"/>
      <c r="F70" s="12"/>
      <c r="G70" s="12" t="s">
        <v>181</v>
      </c>
      <c r="H70" s="12" t="n">
        <f aca="false">COUNTIF(Data!$E$2:$E$1249,G70)</f>
        <v>16</v>
      </c>
      <c r="I70" s="12" t="n">
        <f aca="false">COUNTIFS(Data!$E$2:$E$1249,G70,Data!$L$2:$L$1249,"Yes")</f>
        <v>1</v>
      </c>
      <c r="J70" s="16" t="n">
        <f aca="false">IFERROR(I70/H70,0)</f>
        <v>0.0625</v>
      </c>
      <c r="K70" s="17" t="n">
        <f aca="false">I70+H70/1000+ROW()/10000000</f>
        <v>1.016007</v>
      </c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</row>
    <row r="71" customFormat="false" ht="15" hidden="false" customHeight="false" outlineLevel="0" collapsed="false">
      <c r="A71" s="12"/>
      <c r="B71" s="12"/>
      <c r="C71" s="12"/>
      <c r="D71" s="12"/>
      <c r="E71" s="12"/>
      <c r="F71" s="12"/>
      <c r="G71" s="12" t="s">
        <v>158</v>
      </c>
      <c r="H71" s="12" t="n">
        <f aca="false">COUNTIF(Data!$E$2:$E$1249,G71)</f>
        <v>12</v>
      </c>
      <c r="I71" s="12" t="n">
        <f aca="false">COUNTIFS(Data!$E$2:$E$1249,G71,Data!$L$2:$L$1249,"Yes")</f>
        <v>2</v>
      </c>
      <c r="J71" s="16" t="n">
        <f aca="false">IFERROR(I71/H71,0)</f>
        <v>0.166666666666667</v>
      </c>
      <c r="K71" s="17" t="n">
        <f aca="false">I71+H71/1000+ROW()/10000000</f>
        <v>2.0120071</v>
      </c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</row>
    <row r="72" customFormat="false" ht="15" hidden="false" customHeight="false" outlineLevel="0" collapsed="false">
      <c r="A72" s="12"/>
      <c r="B72" s="12"/>
      <c r="C72" s="12"/>
      <c r="D72" s="12"/>
      <c r="E72" s="12"/>
      <c r="F72" s="12"/>
      <c r="G72" s="12" t="s">
        <v>216</v>
      </c>
      <c r="H72" s="12" t="n">
        <f aca="false">COUNTIF(Data!$E$2:$E$1249,G72)</f>
        <v>9</v>
      </c>
      <c r="I72" s="12" t="n">
        <f aca="false">COUNTIFS(Data!$E$2:$E$1249,G72,Data!$L$2:$L$1249,"Yes")</f>
        <v>5</v>
      </c>
      <c r="J72" s="16" t="n">
        <f aca="false">IFERROR(I72/H72,0)</f>
        <v>0.555555555555556</v>
      </c>
      <c r="K72" s="17" t="n">
        <f aca="false">I72+H72/1000+ROW()/10000000</f>
        <v>5.0090072</v>
      </c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</row>
    <row r="73" customFormat="false" ht="15" hidden="false" customHeight="false" outlineLevel="0" collapsed="false">
      <c r="A73" s="12"/>
      <c r="B73" s="12"/>
      <c r="C73" s="12"/>
      <c r="D73" s="12"/>
      <c r="E73" s="12"/>
      <c r="F73" s="12"/>
      <c r="G73" s="12" t="s">
        <v>86</v>
      </c>
      <c r="H73" s="12" t="n">
        <f aca="false">COUNTIF(Data!$E$2:$E$1249,G73)</f>
        <v>19</v>
      </c>
      <c r="I73" s="12" t="n">
        <f aca="false">COUNTIFS(Data!$E$2:$E$1249,G73,Data!$L$2:$L$1249,"Yes")</f>
        <v>5</v>
      </c>
      <c r="J73" s="16" t="n">
        <f aca="false">IFERROR(I73/H73,0)</f>
        <v>0.263157894736842</v>
      </c>
      <c r="K73" s="17" t="n">
        <f aca="false">I73+H73/1000+ROW()/10000000</f>
        <v>5.0190073</v>
      </c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</row>
    <row r="74" customFormat="false" ht="15" hidden="false" customHeight="false" outlineLevel="0" collapsed="false">
      <c r="A74" s="12"/>
      <c r="B74" s="12"/>
      <c r="C74" s="12"/>
      <c r="D74" s="12"/>
      <c r="E74" s="12"/>
      <c r="F74" s="12"/>
      <c r="G74" s="12" t="s">
        <v>92</v>
      </c>
      <c r="H74" s="12" t="n">
        <f aca="false">COUNTIF(Data!$E$2:$E$1249,G74)</f>
        <v>8</v>
      </c>
      <c r="I74" s="12" t="n">
        <f aca="false">COUNTIFS(Data!$E$2:$E$1249,G74,Data!$L$2:$L$1249,"Yes")</f>
        <v>1</v>
      </c>
      <c r="J74" s="16" t="n">
        <f aca="false">IFERROR(I74/H74,0)</f>
        <v>0.125</v>
      </c>
      <c r="K74" s="17" t="n">
        <f aca="false">I74+H74/1000+ROW()/10000000</f>
        <v>1.0080074</v>
      </c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</row>
    <row r="75" customFormat="false" ht="15" hidden="false" customHeight="false" outlineLevel="0" collapsed="false">
      <c r="A75" s="12"/>
      <c r="B75" s="12"/>
      <c r="C75" s="12"/>
      <c r="D75" s="12"/>
      <c r="E75" s="12"/>
      <c r="F75" s="12"/>
      <c r="G75" s="12" t="s">
        <v>188</v>
      </c>
      <c r="H75" s="12" t="n">
        <f aca="false">COUNTIF(Data!$E$2:$E$1249,G75)</f>
        <v>15</v>
      </c>
      <c r="I75" s="12" t="n">
        <f aca="false">COUNTIFS(Data!$E$2:$E$1249,G75,Data!$L$2:$L$1249,"Yes")</f>
        <v>4</v>
      </c>
      <c r="J75" s="16" t="n">
        <f aca="false">IFERROR(I75/H75,0)</f>
        <v>0.266666666666667</v>
      </c>
      <c r="K75" s="17" t="n">
        <f aca="false">I75+H75/1000+ROW()/10000000</f>
        <v>4.0150075</v>
      </c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</row>
    <row r="76" customFormat="false" ht="15" hidden="false" customHeight="false" outlineLevel="0" collapsed="false">
      <c r="A76" s="12"/>
      <c r="B76" s="12"/>
      <c r="C76" s="12"/>
      <c r="D76" s="12"/>
      <c r="E76" s="12"/>
      <c r="F76" s="12"/>
      <c r="G76" s="12" t="s">
        <v>253</v>
      </c>
      <c r="H76" s="12" t="n">
        <f aca="false">COUNTIF(Data!$E$2:$E$1249,G76)</f>
        <v>14</v>
      </c>
      <c r="I76" s="12" t="n">
        <f aca="false">COUNTIFS(Data!$E$2:$E$1249,G76,Data!$L$2:$L$1249,"Yes")</f>
        <v>1</v>
      </c>
      <c r="J76" s="16" t="n">
        <f aca="false">IFERROR(I76/H76,0)</f>
        <v>0.0714285714285714</v>
      </c>
      <c r="K76" s="17" t="n">
        <f aca="false">I76+H76/1000+ROW()/10000000</f>
        <v>1.0140076</v>
      </c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</row>
    <row r="77" customFormat="false" ht="15" hidden="false" customHeight="false" outlineLevel="0" collapsed="false">
      <c r="A77" s="12"/>
      <c r="B77" s="12"/>
      <c r="C77" s="12"/>
      <c r="D77" s="12"/>
      <c r="E77" s="12"/>
      <c r="F77" s="12"/>
      <c r="G77" s="12" t="s">
        <v>164</v>
      </c>
      <c r="H77" s="12" t="n">
        <f aca="false">COUNTIF(Data!$E$2:$E$1249,G77)</f>
        <v>11</v>
      </c>
      <c r="I77" s="12" t="n">
        <f aca="false">COUNTIFS(Data!$E$2:$E$1249,G77,Data!$L$2:$L$1249,"Yes")</f>
        <v>1</v>
      </c>
      <c r="J77" s="16" t="n">
        <f aca="false">IFERROR(I77/H77,0)</f>
        <v>0.0909090909090909</v>
      </c>
      <c r="K77" s="17" t="n">
        <f aca="false">I77+H77/1000+ROW()/10000000</f>
        <v>1.0110077</v>
      </c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</row>
    <row r="78" customFormat="false" ht="15" hidden="false" customHeight="false" outlineLevel="0" collapsed="false">
      <c r="A78" s="12"/>
      <c r="B78" s="12"/>
      <c r="C78" s="12"/>
      <c r="D78" s="12"/>
      <c r="E78" s="12"/>
      <c r="F78" s="12"/>
      <c r="G78" s="12" t="s">
        <v>191</v>
      </c>
      <c r="H78" s="12" t="n">
        <f aca="false">COUNTIF(Data!$E$2:$E$1249,G78)</f>
        <v>12</v>
      </c>
      <c r="I78" s="12" t="n">
        <f aca="false">COUNTIFS(Data!$E$2:$E$1249,G78,Data!$L$2:$L$1249,"Yes")</f>
        <v>3</v>
      </c>
      <c r="J78" s="16" t="n">
        <f aca="false">IFERROR(I78/H78,0)</f>
        <v>0.25</v>
      </c>
      <c r="K78" s="17" t="n">
        <f aca="false">I78+H78/1000+ROW()/10000000</f>
        <v>3.0120078</v>
      </c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</row>
    <row r="79" customFormat="false" ht="15" hidden="false" customHeight="false" outlineLevel="0" collapsed="false">
      <c r="A79" s="12"/>
      <c r="B79" s="12"/>
      <c r="C79" s="12"/>
      <c r="D79" s="12"/>
      <c r="E79" s="12"/>
      <c r="F79" s="12"/>
      <c r="G79" s="12" t="s">
        <v>134</v>
      </c>
      <c r="H79" s="12" t="n">
        <f aca="false">COUNTIF(Data!$E$2:$E$1249,G79)</f>
        <v>12</v>
      </c>
      <c r="I79" s="12" t="n">
        <f aca="false">COUNTIFS(Data!$E$2:$E$1249,G79,Data!$L$2:$L$1249,"Yes")</f>
        <v>3</v>
      </c>
      <c r="J79" s="16" t="n">
        <f aca="false">IFERROR(I79/H79,0)</f>
        <v>0.25</v>
      </c>
      <c r="K79" s="17" t="n">
        <f aca="false">I79+H79/1000+ROW()/10000000</f>
        <v>3.0120079</v>
      </c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</row>
    <row r="80" customFormat="false" ht="15" hidden="false" customHeight="false" outlineLevel="0" collapsed="false">
      <c r="A80" s="12"/>
      <c r="B80" s="12"/>
      <c r="C80" s="12"/>
      <c r="D80" s="12"/>
      <c r="E80" s="12"/>
      <c r="F80" s="12"/>
      <c r="G80" s="12" t="s">
        <v>694</v>
      </c>
      <c r="H80" s="12" t="n">
        <f aca="false">COUNTIF(Data!$E$2:$E$1249,G80)</f>
        <v>3</v>
      </c>
      <c r="I80" s="12" t="n">
        <f aca="false">COUNTIFS(Data!$E$2:$E$1249,G80,Data!$L$2:$L$1249,"Yes")</f>
        <v>2</v>
      </c>
      <c r="J80" s="16" t="n">
        <f aca="false">IFERROR(I80/H80,0)</f>
        <v>0.666666666666667</v>
      </c>
      <c r="K80" s="17" t="n">
        <f aca="false">I80+H80/1000+ROW()/10000000</f>
        <v>2.003008</v>
      </c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</row>
    <row r="81" customFormat="false" ht="15" hidden="false" customHeight="false" outlineLevel="0" collapsed="false">
      <c r="A81" s="12"/>
      <c r="B81" s="12"/>
      <c r="C81" s="12"/>
      <c r="D81" s="12"/>
      <c r="E81" s="12"/>
      <c r="F81" s="12"/>
      <c r="G81" s="12" t="s">
        <v>186</v>
      </c>
      <c r="H81" s="12" t="n">
        <f aca="false">COUNTIF(Data!$E$2:$E$1249,G81)</f>
        <v>12</v>
      </c>
      <c r="I81" s="12" t="n">
        <f aca="false">COUNTIFS(Data!$E$2:$E$1249,G81,Data!$L$2:$L$1249,"Yes")</f>
        <v>4</v>
      </c>
      <c r="J81" s="16" t="n">
        <f aca="false">IFERROR(I81/H81,0)</f>
        <v>0.333333333333333</v>
      </c>
      <c r="K81" s="17" t="n">
        <f aca="false">I81+H81/1000+ROW()/10000000</f>
        <v>4.0120081</v>
      </c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</row>
    <row r="82" customFormat="false" ht="15" hidden="false" customHeight="false" outlineLevel="0" collapsed="false">
      <c r="A82" s="12"/>
      <c r="B82" s="12"/>
      <c r="C82" s="12"/>
      <c r="D82" s="12"/>
      <c r="E82" s="12"/>
      <c r="F82" s="12"/>
      <c r="G82" s="12" t="s">
        <v>208</v>
      </c>
      <c r="H82" s="12" t="n">
        <f aca="false">COUNTIF(Data!$E$2:$E$1249,G82)</f>
        <v>4</v>
      </c>
      <c r="I82" s="12" t="n">
        <f aca="false">COUNTIFS(Data!$E$2:$E$1249,G82,Data!$L$2:$L$1249,"Yes")</f>
        <v>1</v>
      </c>
      <c r="J82" s="16" t="n">
        <f aca="false">IFERROR(I82/H82,0)</f>
        <v>0.25</v>
      </c>
      <c r="K82" s="17" t="n">
        <f aca="false">I82+H82/1000+ROW()/10000000</f>
        <v>1.0040082</v>
      </c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</row>
    <row r="83" customFormat="false" ht="15" hidden="false" customHeight="false" outlineLevel="0" collapsed="false">
      <c r="A83" s="12"/>
      <c r="B83" s="12"/>
      <c r="C83" s="12"/>
      <c r="D83" s="12"/>
      <c r="E83" s="12"/>
      <c r="F83" s="12"/>
      <c r="G83" s="12" t="s">
        <v>61</v>
      </c>
      <c r="H83" s="12" t="n">
        <f aca="false">COUNTIF(Data!$E$2:$E$1249,G83)</f>
        <v>21</v>
      </c>
      <c r="I83" s="12" t="n">
        <f aca="false">COUNTIFS(Data!$E$2:$E$1249,G83,Data!$L$2:$L$1249,"Yes")</f>
        <v>5</v>
      </c>
      <c r="J83" s="16" t="n">
        <f aca="false">IFERROR(I83/H83,0)</f>
        <v>0.238095238095238</v>
      </c>
      <c r="K83" s="17" t="n">
        <f aca="false">I83+H83/1000+ROW()/10000000</f>
        <v>5.0210083</v>
      </c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</row>
    <row r="84" customFormat="false" ht="15" hidden="false" customHeight="false" outlineLevel="0" collapsed="false">
      <c r="A84" s="12"/>
      <c r="B84" s="12"/>
      <c r="C84" s="12"/>
      <c r="D84" s="12"/>
      <c r="E84" s="12"/>
      <c r="F84" s="12"/>
      <c r="G84" s="12" t="s">
        <v>256</v>
      </c>
      <c r="H84" s="12" t="n">
        <f aca="false">COUNTIF(Data!$E$2:$E$1249,G84)</f>
        <v>13</v>
      </c>
      <c r="I84" s="12" t="n">
        <f aca="false">COUNTIFS(Data!$E$2:$E$1249,G84,Data!$L$2:$L$1249,"Yes")</f>
        <v>7</v>
      </c>
      <c r="J84" s="16" t="n">
        <f aca="false">IFERROR(I84/H84,0)</f>
        <v>0.538461538461538</v>
      </c>
      <c r="K84" s="17" t="n">
        <f aca="false">I84+H84/1000+ROW()/10000000</f>
        <v>7.0130084</v>
      </c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</row>
    <row r="85" customFormat="false" ht="15" hidden="false" customHeight="false" outlineLevel="0" collapsed="false">
      <c r="A85" s="12"/>
      <c r="B85" s="12"/>
      <c r="C85" s="12"/>
      <c r="D85" s="12"/>
      <c r="E85" s="12"/>
      <c r="F85" s="12"/>
      <c r="G85" s="12" t="s">
        <v>656</v>
      </c>
      <c r="H85" s="12" t="n">
        <f aca="false">COUNTIF(Data!$E$2:$E$1249,G85)</f>
        <v>9</v>
      </c>
      <c r="I85" s="12" t="n">
        <f aca="false">COUNTIFS(Data!$E$2:$E$1249,G85,Data!$L$2:$L$1249,"Yes")</f>
        <v>4</v>
      </c>
      <c r="J85" s="16" t="n">
        <f aca="false">IFERROR(I85/H85,0)</f>
        <v>0.444444444444444</v>
      </c>
      <c r="K85" s="17" t="n">
        <f aca="false">I85+H85/1000+ROW()/10000000</f>
        <v>4.0090085</v>
      </c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</row>
    <row r="86" customFormat="false" ht="15" hidden="false" customHeight="false" outlineLevel="0" collapsed="false">
      <c r="A86" s="12"/>
      <c r="B86" s="12"/>
      <c r="C86" s="12"/>
      <c r="D86" s="12"/>
      <c r="E86" s="12"/>
      <c r="F86" s="12"/>
      <c r="G86" s="12" t="s">
        <v>200</v>
      </c>
      <c r="H86" s="12" t="n">
        <f aca="false">COUNTIF(Data!$E$2:$E$1249,G86)</f>
        <v>17</v>
      </c>
      <c r="I86" s="12" t="n">
        <f aca="false">COUNTIFS(Data!$E$2:$E$1249,G86,Data!$L$2:$L$1249,"Yes")</f>
        <v>10</v>
      </c>
      <c r="J86" s="16" t="n">
        <f aca="false">IFERROR(I86/H86,0)</f>
        <v>0.588235294117647</v>
      </c>
      <c r="K86" s="17" t="n">
        <f aca="false">I86+H86/1000+ROW()/10000000</f>
        <v>10.0170086</v>
      </c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</row>
    <row r="87" customFormat="false" ht="15" hidden="false" customHeight="false" outlineLevel="0" collapsed="false">
      <c r="A87" s="12"/>
      <c r="B87" s="12"/>
      <c r="C87" s="12"/>
      <c r="D87" s="12"/>
      <c r="E87" s="12"/>
      <c r="F87" s="12"/>
      <c r="G87" s="12" t="s">
        <v>376</v>
      </c>
      <c r="H87" s="12" t="n">
        <f aca="false">COUNTIF(Data!$E$2:$E$1249,G87)</f>
        <v>9</v>
      </c>
      <c r="I87" s="12" t="n">
        <f aca="false">COUNTIFS(Data!$E$2:$E$1249,G87,Data!$L$2:$L$1249,"Yes")</f>
        <v>2</v>
      </c>
      <c r="J87" s="16" t="n">
        <f aca="false">IFERROR(I87/H87,0)</f>
        <v>0.222222222222222</v>
      </c>
      <c r="K87" s="17" t="n">
        <f aca="false">I87+H87/1000+ROW()/10000000</f>
        <v>2.0090087</v>
      </c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5" min="5" style="0" width="11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18" t="s">
        <v>1495</v>
      </c>
      <c r="B1" s="18" t="s">
        <v>23</v>
      </c>
      <c r="C1" s="18" t="s">
        <v>1491</v>
      </c>
      <c r="D1" s="18" t="s">
        <v>1506</v>
      </c>
      <c r="E1" s="18" t="s">
        <v>1493</v>
      </c>
      <c r="F1" s="18" t="s">
        <v>1507</v>
      </c>
    </row>
    <row r="2" customFormat="false" ht="15" hidden="false" customHeight="false" outlineLevel="0" collapsed="false">
      <c r="A2" s="12" t="n">
        <v>1</v>
      </c>
      <c r="B2" s="12" t="str">
        <f aca="false">INDEX(Analysis!$G$2:$G$87,MATCH(LARGE(Analysis!$K$2:$K$87,A2),Analysis!$K$2:$K$87,0))</f>
        <v>Diclofenac</v>
      </c>
      <c r="C2" s="12" t="n">
        <f aca="false">INDEX(Analysis!$H$2:$H$87,MATCH(B2,Analysis!$G$2:$G$87,0))</f>
        <v>36</v>
      </c>
      <c r="D2" s="12" t="n">
        <f aca="false">INDEX(Analysis!$I$2:$I$87,MATCH(B2,Analysis!$G$2:$G$87,0))</f>
        <v>16</v>
      </c>
      <c r="E2" s="16" t="n">
        <f aca="false">IFERROR(D2/C2,0)</f>
        <v>0.444444444444444</v>
      </c>
      <c r="F2" s="12" t="str">
        <f aca="false">IF(AND(E2&gt;=0.4,C2&gt;=8),"High",IF(E2&gt;=0.25,"Medium","Low"))</f>
        <v>High</v>
      </c>
    </row>
    <row r="3" customFormat="false" ht="15" hidden="false" customHeight="false" outlineLevel="0" collapsed="false">
      <c r="A3" s="12" t="n">
        <v>2</v>
      </c>
      <c r="B3" s="12" t="str">
        <f aca="false">INDEX(Analysis!$G$2:$G$87,MATCH(LARGE(Analysis!$K$2:$K$87,A3),Analysis!$K$2:$K$87,0))</f>
        <v>Ibuprofen</v>
      </c>
      <c r="C3" s="12" t="n">
        <f aca="false">INDEX(Analysis!$H$2:$H$87,MATCH(B3,Analysis!$G$2:$G$87,0))</f>
        <v>39</v>
      </c>
      <c r="D3" s="12" t="n">
        <f aca="false">INDEX(Analysis!$I$2:$I$87,MATCH(B3,Analysis!$G$2:$G$87,0))</f>
        <v>15</v>
      </c>
      <c r="E3" s="16" t="n">
        <f aca="false">IFERROR(D3/C3,0)</f>
        <v>0.384615384615385</v>
      </c>
      <c r="F3" s="12" t="str">
        <f aca="false">IF(AND(E3&gt;=0.4,C3&gt;=8),"High",IF(E3&gt;=0.25,"Medium","Low"))</f>
        <v>Medium</v>
      </c>
    </row>
    <row r="4" customFormat="false" ht="15" hidden="false" customHeight="false" outlineLevel="0" collapsed="false">
      <c r="A4" s="12" t="n">
        <v>3</v>
      </c>
      <c r="B4" s="12" t="str">
        <f aca="false">INDEX(Analysis!$G$2:$G$87,MATCH(LARGE(Analysis!$K$2:$K$87,A4),Analysis!$K$2:$K$87,0))</f>
        <v>Amoxicillin</v>
      </c>
      <c r="C4" s="12" t="n">
        <f aca="false">INDEX(Analysis!$H$2:$H$87,MATCH(B4,Analysis!$G$2:$G$87,0))</f>
        <v>37</v>
      </c>
      <c r="D4" s="12" t="n">
        <f aca="false">INDEX(Analysis!$I$2:$I$87,MATCH(B4,Analysis!$G$2:$G$87,0))</f>
        <v>12</v>
      </c>
      <c r="E4" s="16" t="n">
        <f aca="false">IFERROR(D4/C4,0)</f>
        <v>0.324324324324324</v>
      </c>
      <c r="F4" s="12" t="str">
        <f aca="false">IF(AND(E4&gt;=0.4,C4&gt;=8),"High",IF(E4&gt;=0.25,"Medium","Low"))</f>
        <v>Medium</v>
      </c>
    </row>
    <row r="5" customFormat="false" ht="15" hidden="false" customHeight="false" outlineLevel="0" collapsed="false">
      <c r="A5" s="12" t="n">
        <v>4</v>
      </c>
      <c r="B5" s="12" t="str">
        <f aca="false">INDEX(Analysis!$G$2:$G$87,MATCH(LARGE(Analysis!$K$2:$K$87,A5),Analysis!$K$2:$K$87,0))</f>
        <v>Paracetamol</v>
      </c>
      <c r="C5" s="12" t="n">
        <f aca="false">INDEX(Analysis!$H$2:$H$87,MATCH(B5,Analysis!$G$2:$G$87,0))</f>
        <v>27</v>
      </c>
      <c r="D5" s="12" t="n">
        <f aca="false">INDEX(Analysis!$I$2:$I$87,MATCH(B5,Analysis!$G$2:$G$87,0))</f>
        <v>12</v>
      </c>
      <c r="E5" s="16" t="n">
        <f aca="false">IFERROR(D5/C5,0)</f>
        <v>0.444444444444444</v>
      </c>
      <c r="F5" s="12" t="str">
        <f aca="false">IF(AND(E5&gt;=0.4,C5&gt;=8),"High",IF(E5&gt;=0.25,"Medium","Low"))</f>
        <v>High</v>
      </c>
    </row>
    <row r="6" customFormat="false" ht="15" hidden="false" customHeight="false" outlineLevel="0" collapsed="false">
      <c r="A6" s="12" t="n">
        <v>5</v>
      </c>
      <c r="B6" s="12" t="str">
        <f aca="false">INDEX(Analysis!$G$2:$G$87,MATCH(LARGE(Analysis!$K$2:$K$87,A6),Analysis!$K$2:$K$87,0))</f>
        <v>Metformin</v>
      </c>
      <c r="C6" s="12" t="n">
        <f aca="false">INDEX(Analysis!$H$2:$H$87,MATCH(B6,Analysis!$G$2:$G$87,0))</f>
        <v>38</v>
      </c>
      <c r="D6" s="12" t="n">
        <f aca="false">INDEX(Analysis!$I$2:$I$87,MATCH(B6,Analysis!$G$2:$G$87,0))</f>
        <v>11</v>
      </c>
      <c r="E6" s="16" t="n">
        <f aca="false">IFERROR(D6/C6,0)</f>
        <v>0.289473684210526</v>
      </c>
      <c r="F6" s="12" t="str">
        <f aca="false">IF(AND(E6&gt;=0.4,C6&gt;=8),"High",IF(E6&gt;=0.25,"Medium","Low"))</f>
        <v>Medium</v>
      </c>
    </row>
    <row r="7" customFormat="false" ht="15" hidden="false" customHeight="false" outlineLevel="0" collapsed="false">
      <c r="A7" s="12" t="n">
        <v>6</v>
      </c>
      <c r="B7" s="12" t="str">
        <f aca="false">INDEX(Analysis!$G$2:$G$87,MATCH(LARGE(Analysis!$K$2:$K$87,A7),Analysis!$K$2:$K$87,0))</f>
        <v>Cotrimoxazole</v>
      </c>
      <c r="C7" s="12" t="n">
        <f aca="false">INDEX(Analysis!$H$2:$H$87,MATCH(B7,Analysis!$G$2:$G$87,0))</f>
        <v>23</v>
      </c>
      <c r="D7" s="12" t="n">
        <f aca="false">INDEX(Analysis!$I$2:$I$87,MATCH(B7,Analysis!$G$2:$G$87,0))</f>
        <v>11</v>
      </c>
      <c r="E7" s="16" t="n">
        <f aca="false">IFERROR(D7/C7,0)</f>
        <v>0.478260869565217</v>
      </c>
      <c r="F7" s="12" t="str">
        <f aca="false">IF(AND(E7&gt;=0.4,C7&gt;=8),"High",IF(E7&gt;=0.25,"Medium","Low"))</f>
        <v>High</v>
      </c>
    </row>
    <row r="8" customFormat="false" ht="15" hidden="false" customHeight="false" outlineLevel="0" collapsed="false">
      <c r="A8" s="12" t="n">
        <v>7</v>
      </c>
      <c r="B8" s="12" t="str">
        <f aca="false">INDEX(Analysis!$G$2:$G$87,MATCH(LARGE(Analysis!$K$2:$K$87,A8),Analysis!$K$2:$K$87,0))</f>
        <v>Ciprofloxacin</v>
      </c>
      <c r="C8" s="12" t="n">
        <f aca="false">INDEX(Analysis!$H$2:$H$87,MATCH(B8,Analysis!$G$2:$G$87,0))</f>
        <v>23</v>
      </c>
      <c r="D8" s="12" t="n">
        <f aca="false">INDEX(Analysis!$I$2:$I$87,MATCH(B8,Analysis!$G$2:$G$87,0))</f>
        <v>11</v>
      </c>
      <c r="E8" s="16" t="n">
        <f aca="false">IFERROR(D8/C8,0)</f>
        <v>0.478260869565217</v>
      </c>
      <c r="F8" s="12" t="str">
        <f aca="false">IF(AND(E8&gt;=0.4,C8&gt;=8),"High",IF(E8&gt;=0.25,"Medium","Low"))</f>
        <v>High</v>
      </c>
    </row>
    <row r="9" customFormat="false" ht="15" hidden="false" customHeight="false" outlineLevel="0" collapsed="false">
      <c r="A9" s="12" t="n">
        <v>8</v>
      </c>
      <c r="B9" s="12" t="str">
        <f aca="false">INDEX(Analysis!$G$2:$G$87,MATCH(LARGE(Analysis!$K$2:$K$87,A9),Analysis!$K$2:$K$87,0))</f>
        <v>Allopurinol</v>
      </c>
      <c r="C9" s="12" t="n">
        <f aca="false">INDEX(Analysis!$H$2:$H$87,MATCH(B9,Analysis!$G$2:$G$87,0))</f>
        <v>24</v>
      </c>
      <c r="D9" s="12" t="n">
        <f aca="false">INDEX(Analysis!$I$2:$I$87,MATCH(B9,Analysis!$G$2:$G$87,0))</f>
        <v>10</v>
      </c>
      <c r="E9" s="16" t="n">
        <f aca="false">IFERROR(D9/C9,0)</f>
        <v>0.416666666666667</v>
      </c>
      <c r="F9" s="12" t="str">
        <f aca="false">IF(AND(E9&gt;=0.4,C9&gt;=8),"High",IF(E9&gt;=0.25,"Medium","Low"))</f>
        <v>High</v>
      </c>
    </row>
    <row r="10" customFormat="false" ht="15" hidden="false" customHeight="false" outlineLevel="0" collapsed="false">
      <c r="A10" s="12" t="n">
        <v>9</v>
      </c>
      <c r="B10" s="12" t="str">
        <f aca="false">INDEX(Analysis!$G$2:$G$87,MATCH(LARGE(Analysis!$K$2:$K$87,A10),Analysis!$K$2:$K$87,0))</f>
        <v>Phenytoin</v>
      </c>
      <c r="C10" s="12" t="n">
        <f aca="false">INDEX(Analysis!$H$2:$H$87,MATCH(B10,Analysis!$G$2:$G$87,0))</f>
        <v>21</v>
      </c>
      <c r="D10" s="12" t="n">
        <f aca="false">INDEX(Analysis!$I$2:$I$87,MATCH(B10,Analysis!$G$2:$G$87,0))</f>
        <v>10</v>
      </c>
      <c r="E10" s="16" t="n">
        <f aca="false">IFERROR(D10/C10,0)</f>
        <v>0.476190476190476</v>
      </c>
      <c r="F10" s="12" t="str">
        <f aca="false">IF(AND(E10&gt;=0.4,C10&gt;=8),"High",IF(E10&gt;=0.25,"Medium","Low"))</f>
        <v>High</v>
      </c>
    </row>
    <row r="11" customFormat="false" ht="15" hidden="false" customHeight="false" outlineLevel="0" collapsed="false">
      <c r="A11" s="12" t="n">
        <v>10</v>
      </c>
      <c r="B11" s="12" t="str">
        <f aca="false">INDEX(Analysis!$G$2:$G$87,MATCH(LARGE(Analysis!$K$2:$K$87,A11),Analysis!$K$2:$K$87,0))</f>
        <v>Warfarin</v>
      </c>
      <c r="C11" s="12" t="n">
        <f aca="false">INDEX(Analysis!$H$2:$H$87,MATCH(B11,Analysis!$G$2:$G$87,0))</f>
        <v>17</v>
      </c>
      <c r="D11" s="12" t="n">
        <f aca="false">INDEX(Analysis!$I$2:$I$87,MATCH(B11,Analysis!$G$2:$G$87,0))</f>
        <v>10</v>
      </c>
      <c r="E11" s="16" t="n">
        <f aca="false">IFERROR(D11/C11,0)</f>
        <v>0.588235294117647</v>
      </c>
      <c r="F11" s="12" t="str">
        <f aca="false">IF(AND(E11&gt;=0.4,C11&gt;=8),"High",IF(E11&gt;=0.25,"Medium","Low"))</f>
        <v>High</v>
      </c>
    </row>
    <row r="12" customFormat="false" ht="15" hidden="false" customHeight="false" outlineLevel="0" collapsed="false">
      <c r="A12" s="12" t="n">
        <v>11</v>
      </c>
      <c r="B12" s="12" t="str">
        <f aca="false">INDEX(Analysis!$G$2:$G$87,MATCH(LARGE(Analysis!$K$2:$K$87,A12),Analysis!$K$2:$K$87,0))</f>
        <v>Isoniazid</v>
      </c>
      <c r="C12" s="12" t="n">
        <f aca="false">INDEX(Analysis!$H$2:$H$87,MATCH(B12,Analysis!$G$2:$G$87,0))</f>
        <v>17</v>
      </c>
      <c r="D12" s="12" t="n">
        <f aca="false">INDEX(Analysis!$I$2:$I$87,MATCH(B12,Analysis!$G$2:$G$87,0))</f>
        <v>10</v>
      </c>
      <c r="E12" s="16" t="n">
        <f aca="false">IFERROR(D12/C12,0)</f>
        <v>0.588235294117647</v>
      </c>
      <c r="F12" s="12" t="str">
        <f aca="false">IF(AND(E12&gt;=0.4,C12&gt;=8),"High",IF(E12&gt;=0.25,"Medium","Low"))</f>
        <v>High</v>
      </c>
    </row>
    <row r="13" customFormat="false" ht="15" hidden="false" customHeight="false" outlineLevel="0" collapsed="false">
      <c r="A13" s="12" t="n">
        <v>12</v>
      </c>
      <c r="B13" s="12" t="str">
        <f aca="false">INDEX(Analysis!$G$2:$G$87,MATCH(LARGE(Analysis!$K$2:$K$87,A13),Analysis!$K$2:$K$87,0))</f>
        <v>Amiodarone</v>
      </c>
      <c r="C13" s="12" t="n">
        <f aca="false">INDEX(Analysis!$H$2:$H$87,MATCH(B13,Analysis!$G$2:$G$87,0))</f>
        <v>16</v>
      </c>
      <c r="D13" s="12" t="n">
        <f aca="false">INDEX(Analysis!$I$2:$I$87,MATCH(B13,Analysis!$G$2:$G$87,0))</f>
        <v>10</v>
      </c>
      <c r="E13" s="16" t="n">
        <f aca="false">IFERROR(D13/C13,0)</f>
        <v>0.625</v>
      </c>
      <c r="F13" s="12" t="str">
        <f aca="false">IF(AND(E13&gt;=0.4,C13&gt;=8),"High",IF(E13&gt;=0.25,"Medium","Low"))</f>
        <v>High</v>
      </c>
    </row>
    <row r="14" customFormat="false" ht="15" hidden="false" customHeight="false" outlineLevel="0" collapsed="false">
      <c r="A14" s="12" t="n">
        <v>13</v>
      </c>
      <c r="B14" s="12" t="str">
        <f aca="false">INDEX(Analysis!$G$2:$G$87,MATCH(LARGE(Analysis!$K$2:$K$87,A14),Analysis!$K$2:$K$87,0))</f>
        <v>Levofloxacin</v>
      </c>
      <c r="C14" s="12" t="n">
        <f aca="false">INDEX(Analysis!$H$2:$H$87,MATCH(B14,Analysis!$G$2:$G$87,0))</f>
        <v>15</v>
      </c>
      <c r="D14" s="12" t="n">
        <f aca="false">INDEX(Analysis!$I$2:$I$87,MATCH(B14,Analysis!$G$2:$G$87,0))</f>
        <v>9</v>
      </c>
      <c r="E14" s="16" t="n">
        <f aca="false">IFERROR(D14/C14,0)</f>
        <v>0.6</v>
      </c>
      <c r="F14" s="12" t="str">
        <f aca="false">IF(AND(E14&gt;=0.4,C14&gt;=8),"High",IF(E14&gt;=0.25,"Medium","Low"))</f>
        <v>High</v>
      </c>
    </row>
    <row r="15" customFormat="false" ht="15" hidden="false" customHeight="false" outlineLevel="0" collapsed="false">
      <c r="A15" s="12" t="n">
        <v>14</v>
      </c>
      <c r="B15" s="12" t="str">
        <f aca="false">INDEX(Analysis!$G$2:$G$87,MATCH(LARGE(Analysis!$K$2:$K$87,A15),Analysis!$K$2:$K$87,0))</f>
        <v>Carbamazepine</v>
      </c>
      <c r="C15" s="12" t="n">
        <f aca="false">INDEX(Analysis!$H$2:$H$87,MATCH(B15,Analysis!$G$2:$G$87,0))</f>
        <v>23</v>
      </c>
      <c r="D15" s="12" t="n">
        <f aca="false">INDEX(Analysis!$I$2:$I$87,MATCH(B15,Analysis!$G$2:$G$87,0))</f>
        <v>8</v>
      </c>
      <c r="E15" s="16" t="n">
        <f aca="false">IFERROR(D15/C15,0)</f>
        <v>0.347826086956522</v>
      </c>
      <c r="F15" s="12" t="str">
        <f aca="false">IF(AND(E15&gt;=0.4,C15&gt;=8),"High",IF(E15&gt;=0.25,"Medium","Low"))</f>
        <v>Medium</v>
      </c>
    </row>
    <row r="16" customFormat="false" ht="15" hidden="false" customHeight="false" outlineLevel="0" collapsed="false">
      <c r="A16" s="12" t="n">
        <v>15</v>
      </c>
      <c r="B16" s="12" t="str">
        <f aca="false">INDEX(Analysis!$G$2:$G$87,MATCH(LARGE(Analysis!$K$2:$K$87,A16),Analysis!$K$2:$K$87,0))</f>
        <v>Azithromycin</v>
      </c>
      <c r="C16" s="12" t="n">
        <f aca="false">INDEX(Analysis!$H$2:$H$87,MATCH(B16,Analysis!$G$2:$G$87,0))</f>
        <v>20</v>
      </c>
      <c r="D16" s="12" t="n">
        <f aca="false">INDEX(Analysis!$I$2:$I$87,MATCH(B16,Analysis!$G$2:$G$87,0))</f>
        <v>8</v>
      </c>
      <c r="E16" s="16" t="n">
        <f aca="false">IFERROR(D16/C16,0)</f>
        <v>0.4</v>
      </c>
      <c r="F16" s="12" t="str">
        <f aca="false">IF(AND(E16&gt;=0.4,C16&gt;=8),"High",IF(E16&gt;=0.25,"Medium","Low"))</f>
        <v>High</v>
      </c>
    </row>
    <row r="17" customFormat="false" ht="15" hidden="false" customHeight="false" outlineLevel="0" collapsed="false">
      <c r="A17" s="12" t="n">
        <v>16</v>
      </c>
      <c r="B17" s="12" t="str">
        <f aca="false">INDEX(Analysis!$G$2:$G$87,MATCH(LARGE(Analysis!$K$2:$K$87,A17),Analysis!$K$2:$K$87,0))</f>
        <v>Insulin Glargine</v>
      </c>
      <c r="C17" s="12" t="n">
        <f aca="false">INDEX(Analysis!$H$2:$H$87,MATCH(B17,Analysis!$G$2:$G$87,0))</f>
        <v>16</v>
      </c>
      <c r="D17" s="12" t="n">
        <f aca="false">INDEX(Analysis!$I$2:$I$87,MATCH(B17,Analysis!$G$2:$G$87,0))</f>
        <v>8</v>
      </c>
      <c r="E17" s="16" t="n">
        <f aca="false">IFERROR(D17/C17,0)</f>
        <v>0.5</v>
      </c>
      <c r="F17" s="12" t="str">
        <f aca="false">IF(AND(E17&gt;=0.4,C17&gt;=8),"High",IF(E17&gt;=0.25,"Medium","Low"))</f>
        <v>High</v>
      </c>
    </row>
    <row r="18" customFormat="false" ht="15" hidden="false" customHeight="false" outlineLevel="0" collapsed="false">
      <c r="A18" s="12" t="n">
        <v>17</v>
      </c>
      <c r="B18" s="12" t="str">
        <f aca="false">INDEX(Analysis!$G$2:$G$87,MATCH(LARGE(Analysis!$K$2:$K$87,A18),Analysis!$K$2:$K$87,0))</f>
        <v>Morphine</v>
      </c>
      <c r="C18" s="12" t="n">
        <f aca="false">INDEX(Analysis!$H$2:$H$87,MATCH(B18,Analysis!$G$2:$G$87,0))</f>
        <v>15</v>
      </c>
      <c r="D18" s="12" t="n">
        <f aca="false">INDEX(Analysis!$I$2:$I$87,MATCH(B18,Analysis!$G$2:$G$87,0))</f>
        <v>8</v>
      </c>
      <c r="E18" s="16" t="n">
        <f aca="false">IFERROR(D18/C18,0)</f>
        <v>0.533333333333333</v>
      </c>
      <c r="F18" s="12" t="str">
        <f aca="false">IF(AND(E18&gt;=0.4,C18&gt;=8),"High",IF(E18&gt;=0.25,"Medium","Low"))</f>
        <v>High</v>
      </c>
    </row>
    <row r="19" customFormat="false" ht="15" hidden="false" customHeight="false" outlineLevel="0" collapsed="false">
      <c r="A19" s="12" t="n">
        <v>18</v>
      </c>
      <c r="B19" s="12" t="str">
        <f aca="false">INDEX(Analysis!$G$2:$G$87,MATCH(LARGE(Analysis!$K$2:$K$87,A19),Analysis!$K$2:$K$87,0))</f>
        <v>Methotrexate</v>
      </c>
      <c r="C19" s="12" t="n">
        <f aca="false">INDEX(Analysis!$H$2:$H$87,MATCH(B19,Analysis!$G$2:$G$87,0))</f>
        <v>11</v>
      </c>
      <c r="D19" s="12" t="n">
        <f aca="false">INDEX(Analysis!$I$2:$I$87,MATCH(B19,Analysis!$G$2:$G$87,0))</f>
        <v>8</v>
      </c>
      <c r="E19" s="16" t="n">
        <f aca="false">IFERROR(D19/C19,0)</f>
        <v>0.727272727272727</v>
      </c>
      <c r="F19" s="12" t="str">
        <f aca="false">IF(AND(E19&gt;=0.4,C19&gt;=8),"High",IF(E19&gt;=0.25,"Medium","Low"))</f>
        <v>High</v>
      </c>
    </row>
    <row r="20" customFormat="false" ht="15" hidden="false" customHeight="false" outlineLevel="0" collapsed="false">
      <c r="A20" s="12" t="n">
        <v>19</v>
      </c>
      <c r="B20" s="12" t="str">
        <f aca="false">INDEX(Analysis!$G$2:$G$87,MATCH(LARGE(Analysis!$K$2:$K$87,A20),Analysis!$K$2:$K$87,0))</f>
        <v>Naproxen</v>
      </c>
      <c r="C20" s="12" t="n">
        <f aca="false">INDEX(Analysis!$H$2:$H$87,MATCH(B20,Analysis!$G$2:$G$87,0))</f>
        <v>17</v>
      </c>
      <c r="D20" s="12" t="n">
        <f aca="false">INDEX(Analysis!$I$2:$I$87,MATCH(B20,Analysis!$G$2:$G$87,0))</f>
        <v>7</v>
      </c>
      <c r="E20" s="16" t="n">
        <f aca="false">IFERROR(D20/C20,0)</f>
        <v>0.411764705882353</v>
      </c>
      <c r="F20" s="12" t="str">
        <f aca="false">IF(AND(E20&gt;=0.4,C20&gt;=8),"High",IF(E20&gt;=0.25,"Medium","Low"))</f>
        <v>High</v>
      </c>
    </row>
    <row r="21" customFormat="false" ht="15" hidden="false" customHeight="false" outlineLevel="0" collapsed="false">
      <c r="A21" s="12" t="n">
        <v>20</v>
      </c>
      <c r="B21" s="12" t="str">
        <f aca="false">INDEX(Analysis!$G$2:$G$87,MATCH(LARGE(Analysis!$K$2:$K$87,A21),Analysis!$K$2:$K$87,0))</f>
        <v>Lamotrigine</v>
      </c>
      <c r="C21" s="12" t="n">
        <f aca="false">INDEX(Analysis!$H$2:$H$87,MATCH(B21,Analysis!$G$2:$G$87,0))</f>
        <v>16</v>
      </c>
      <c r="D21" s="12" t="n">
        <f aca="false">INDEX(Analysis!$I$2:$I$87,MATCH(B21,Analysis!$G$2:$G$87,0))</f>
        <v>7</v>
      </c>
      <c r="E21" s="16" t="n">
        <f aca="false">IFERROR(D21/C21,0)</f>
        <v>0.4375</v>
      </c>
      <c r="F21" s="12" t="str">
        <f aca="false">IF(AND(E21&gt;=0.4,C21&gt;=8),"High",IF(E21&gt;=0.25,"Medium","Low"))</f>
        <v>High</v>
      </c>
    </row>
    <row r="22" customFormat="false" ht="15" hidden="false" customHeight="false" outlineLevel="0" collapsed="false">
      <c r="A22" s="12" t="n">
        <v>21</v>
      </c>
      <c r="B22" s="12" t="str">
        <f aca="false">INDEX(Analysis!$G$2:$G$87,MATCH(LARGE(Analysis!$K$2:$K$87,A22),Analysis!$K$2:$K$87,0))</f>
        <v>Gliclazide</v>
      </c>
      <c r="C22" s="12" t="n">
        <f aca="false">INDEX(Analysis!$H$2:$H$87,MATCH(B22,Analysis!$G$2:$G$87,0))</f>
        <v>16</v>
      </c>
      <c r="D22" s="12" t="n">
        <f aca="false">INDEX(Analysis!$I$2:$I$87,MATCH(B22,Analysis!$G$2:$G$87,0))</f>
        <v>7</v>
      </c>
      <c r="E22" s="16" t="n">
        <f aca="false">IFERROR(D22/C22,0)</f>
        <v>0.4375</v>
      </c>
      <c r="F22" s="12" t="str">
        <f aca="false">IF(AND(E22&gt;=0.4,C22&gt;=8),"High",IF(E22&gt;=0.25,"Medium","Low"))</f>
        <v>High</v>
      </c>
    </row>
    <row r="23" customFormat="false" ht="15" hidden="false" customHeight="false" outlineLevel="0" collapsed="false">
      <c r="A23" s="12" t="n">
        <v>22</v>
      </c>
      <c r="B23" s="12" t="str">
        <f aca="false">INDEX(Analysis!$G$2:$G$87,MATCH(LARGE(Analysis!$K$2:$K$87,A23),Analysis!$K$2:$K$87,0))</f>
        <v>Haloperidol</v>
      </c>
      <c r="C23" s="12" t="n">
        <f aca="false">INDEX(Analysis!$H$2:$H$87,MATCH(B23,Analysis!$G$2:$G$87,0))</f>
        <v>14</v>
      </c>
      <c r="D23" s="12" t="n">
        <f aca="false">INDEX(Analysis!$I$2:$I$87,MATCH(B23,Analysis!$G$2:$G$87,0))</f>
        <v>7</v>
      </c>
      <c r="E23" s="16" t="n">
        <f aca="false">IFERROR(D23/C23,0)</f>
        <v>0.5</v>
      </c>
      <c r="F23" s="12" t="str">
        <f aca="false">IF(AND(E23&gt;=0.4,C23&gt;=8),"High",IF(E23&gt;=0.25,"Medium","Low"))</f>
        <v>High</v>
      </c>
    </row>
    <row r="24" customFormat="false" ht="15" hidden="false" customHeight="false" outlineLevel="0" collapsed="false">
      <c r="A24" s="12" t="n">
        <v>23</v>
      </c>
      <c r="B24" s="12" t="str">
        <f aca="false">INDEX(Analysis!$G$2:$G$87,MATCH(LARGE(Analysis!$K$2:$K$87,A24),Analysis!$K$2:$K$87,0))</f>
        <v>Valproate</v>
      </c>
      <c r="C24" s="12" t="n">
        <f aca="false">INDEX(Analysis!$H$2:$H$87,MATCH(B24,Analysis!$G$2:$G$87,0))</f>
        <v>13</v>
      </c>
      <c r="D24" s="12" t="n">
        <f aca="false">INDEX(Analysis!$I$2:$I$87,MATCH(B24,Analysis!$G$2:$G$87,0))</f>
        <v>7</v>
      </c>
      <c r="E24" s="16" t="n">
        <f aca="false">IFERROR(D24/C24,0)</f>
        <v>0.538461538461538</v>
      </c>
      <c r="F24" s="12" t="str">
        <f aca="false">IF(AND(E24&gt;=0.4,C24&gt;=8),"High",IF(E24&gt;=0.25,"Medium","Low"))</f>
        <v>High</v>
      </c>
    </row>
    <row r="25" customFormat="false" ht="15" hidden="false" customHeight="false" outlineLevel="0" collapsed="false">
      <c r="A25" s="12" t="n">
        <v>24</v>
      </c>
      <c r="B25" s="12" t="str">
        <f aca="false">INDEX(Analysis!$G$2:$G$87,MATCH(LARGE(Analysis!$K$2:$K$87,A25),Analysis!$K$2:$K$87,0))</f>
        <v>Gentamicin</v>
      </c>
      <c r="C25" s="12" t="n">
        <f aca="false">INDEX(Analysis!$H$2:$H$87,MATCH(B25,Analysis!$G$2:$G$87,0))</f>
        <v>13</v>
      </c>
      <c r="D25" s="12" t="n">
        <f aca="false">INDEX(Analysis!$I$2:$I$87,MATCH(B25,Analysis!$G$2:$G$87,0))</f>
        <v>7</v>
      </c>
      <c r="E25" s="16" t="n">
        <f aca="false">IFERROR(D25/C25,0)</f>
        <v>0.538461538461538</v>
      </c>
      <c r="F25" s="12" t="str">
        <f aca="false">IF(AND(E25&gt;=0.4,C25&gt;=8),"High",IF(E25&gt;=0.25,"Medium","Low"))</f>
        <v>High</v>
      </c>
    </row>
    <row r="26" customFormat="false" ht="15" hidden="false" customHeight="false" outlineLevel="0" collapsed="false">
      <c r="A26" s="12" t="n">
        <v>25</v>
      </c>
      <c r="B26" s="12" t="str">
        <f aca="false">INDEX(Analysis!$G$2:$G$87,MATCH(LARGE(Analysis!$K$2:$K$87,A26),Analysis!$K$2:$K$87,0))</f>
        <v>Ondansetron</v>
      </c>
      <c r="C26" s="12" t="n">
        <f aca="false">INDEX(Analysis!$H$2:$H$87,MATCH(B26,Analysis!$G$2:$G$87,0))</f>
        <v>12</v>
      </c>
      <c r="D26" s="12" t="n">
        <f aca="false">INDEX(Analysis!$I$2:$I$87,MATCH(B26,Analysis!$G$2:$G$87,0))</f>
        <v>7</v>
      </c>
      <c r="E26" s="16" t="n">
        <f aca="false">IFERROR(D26/C26,0)</f>
        <v>0.583333333333333</v>
      </c>
      <c r="F26" s="12" t="str">
        <f aca="false">IF(AND(E26&gt;=0.4,C26&gt;=8),"High",IF(E26&gt;=0.25,"Medium","Low"))</f>
        <v>High</v>
      </c>
    </row>
    <row r="27" customFormat="false" ht="15" hidden="false" customHeight="false" outlineLevel="0" collapsed="false">
      <c r="A27" s="12" t="n">
        <v>26</v>
      </c>
      <c r="B27" s="12" t="str">
        <f aca="false">INDEX(Analysis!$G$2:$G$87,MATCH(LARGE(Analysis!$K$2:$K$87,A27),Analysis!$K$2:$K$87,0))</f>
        <v>Clopidogrel</v>
      </c>
      <c r="C27" s="12" t="n">
        <f aca="false">INDEX(Analysis!$H$2:$H$87,MATCH(B27,Analysis!$G$2:$G$87,0))</f>
        <v>15</v>
      </c>
      <c r="D27" s="12" t="n">
        <f aca="false">INDEX(Analysis!$I$2:$I$87,MATCH(B27,Analysis!$G$2:$G$87,0))</f>
        <v>6</v>
      </c>
      <c r="E27" s="16" t="n">
        <f aca="false">IFERROR(D27/C27,0)</f>
        <v>0.4</v>
      </c>
      <c r="F27" s="12" t="str">
        <f aca="false">IF(AND(E27&gt;=0.4,C27&gt;=8),"High",IF(E27&gt;=0.25,"Medium","Low"))</f>
        <v>High</v>
      </c>
    </row>
    <row r="28" customFormat="false" ht="15" hidden="false" customHeight="false" outlineLevel="0" collapsed="false">
      <c r="A28" s="12" t="n">
        <v>27</v>
      </c>
      <c r="B28" s="12" t="str">
        <f aca="false">INDEX(Analysis!$G$2:$G$87,MATCH(LARGE(Analysis!$K$2:$K$87,A28),Analysis!$K$2:$K$87,0))</f>
        <v>Fluoxetine</v>
      </c>
      <c r="C28" s="12" t="n">
        <f aca="false">INDEX(Analysis!$H$2:$H$87,MATCH(B28,Analysis!$G$2:$G$87,0))</f>
        <v>14</v>
      </c>
      <c r="D28" s="12" t="n">
        <f aca="false">INDEX(Analysis!$I$2:$I$87,MATCH(B28,Analysis!$G$2:$G$87,0))</f>
        <v>6</v>
      </c>
      <c r="E28" s="16" t="n">
        <f aca="false">IFERROR(D28/C28,0)</f>
        <v>0.428571428571429</v>
      </c>
      <c r="F28" s="12" t="str">
        <f aca="false">IF(AND(E28&gt;=0.4,C28&gt;=8),"High",IF(E28&gt;=0.25,"Medium","Low"))</f>
        <v>High</v>
      </c>
    </row>
    <row r="29" customFormat="false" ht="15" hidden="false" customHeight="false" outlineLevel="0" collapsed="false">
      <c r="A29" s="12" t="n">
        <v>28</v>
      </c>
      <c r="B29" s="12" t="str">
        <f aca="false">INDEX(Analysis!$G$2:$G$87,MATCH(LARGE(Analysis!$K$2:$K$87,A29),Analysis!$K$2:$K$87,0))</f>
        <v>Apixaban</v>
      </c>
      <c r="C29" s="12" t="n">
        <f aca="false">INDEX(Analysis!$H$2:$H$87,MATCH(B29,Analysis!$G$2:$G$87,0))</f>
        <v>12</v>
      </c>
      <c r="D29" s="12" t="n">
        <f aca="false">INDEX(Analysis!$I$2:$I$87,MATCH(B29,Analysis!$G$2:$G$87,0))</f>
        <v>6</v>
      </c>
      <c r="E29" s="16" t="n">
        <f aca="false">IFERROR(D29/C29,0)</f>
        <v>0.5</v>
      </c>
      <c r="F29" s="12" t="str">
        <f aca="false">IF(AND(E29&gt;=0.4,C29&gt;=8),"High",IF(E29&gt;=0.25,"Medium","Low"))</f>
        <v>High</v>
      </c>
    </row>
    <row r="30" customFormat="false" ht="15" hidden="false" customHeight="false" outlineLevel="0" collapsed="false">
      <c r="A30" s="12" t="n">
        <v>29</v>
      </c>
      <c r="B30" s="12" t="str">
        <f aca="false">INDEX(Analysis!$G$2:$G$87,MATCH(LARGE(Analysis!$K$2:$K$87,A30),Analysis!$K$2:$K$87,0))</f>
        <v>Tramadol</v>
      </c>
      <c r="C30" s="12" t="n">
        <f aca="false">INDEX(Analysis!$H$2:$H$87,MATCH(B30,Analysis!$G$2:$G$87,0))</f>
        <v>21</v>
      </c>
      <c r="D30" s="12" t="n">
        <f aca="false">INDEX(Analysis!$I$2:$I$87,MATCH(B30,Analysis!$G$2:$G$87,0))</f>
        <v>5</v>
      </c>
      <c r="E30" s="16" t="n">
        <f aca="false">IFERROR(D30/C30,0)</f>
        <v>0.238095238095238</v>
      </c>
      <c r="F30" s="12" t="str">
        <f aca="false">IF(AND(E30&gt;=0.4,C30&gt;=8),"High",IF(E30&gt;=0.25,"Medium","Low"))</f>
        <v>Low</v>
      </c>
    </row>
    <row r="31" customFormat="false" ht="15" hidden="false" customHeight="false" outlineLevel="0" collapsed="false">
      <c r="A31" s="12" t="n">
        <v>30</v>
      </c>
      <c r="B31" s="12" t="str">
        <f aca="false">INDEX(Analysis!$G$2:$G$87,MATCH(LARGE(Analysis!$K$2:$K$87,A31),Analysis!$K$2:$K$87,0))</f>
        <v>Rifampicin</v>
      </c>
      <c r="C31" s="12" t="n">
        <f aca="false">INDEX(Analysis!$H$2:$H$87,MATCH(B31,Analysis!$G$2:$G$87,0))</f>
        <v>19</v>
      </c>
      <c r="D31" s="12" t="n">
        <f aca="false">INDEX(Analysis!$I$2:$I$87,MATCH(B31,Analysis!$G$2:$G$87,0))</f>
        <v>5</v>
      </c>
      <c r="E31" s="16" t="n">
        <f aca="false">IFERROR(D31/C31,0)</f>
        <v>0.263157894736842</v>
      </c>
      <c r="F31" s="12" t="str">
        <f aca="false">IF(AND(E31&gt;=0.4,C31&gt;=8),"High",IF(E31&gt;=0.25,"Medium","Low"))</f>
        <v>Medium</v>
      </c>
    </row>
    <row r="32" customFormat="false" ht="15" hidden="false" customHeight="false" outlineLevel="0" collapsed="false">
      <c r="A32" s="12" t="n">
        <v>31</v>
      </c>
      <c r="B32" s="12" t="str">
        <f aca="false">INDEX(Analysis!$G$2:$G$87,MATCH(LARGE(Analysis!$K$2:$K$87,A32),Analysis!$K$2:$K$87,0))</f>
        <v>Diazepam</v>
      </c>
      <c r="C32" s="12" t="n">
        <f aca="false">INDEX(Analysis!$H$2:$H$87,MATCH(B32,Analysis!$G$2:$G$87,0))</f>
        <v>16</v>
      </c>
      <c r="D32" s="12" t="n">
        <f aca="false">INDEX(Analysis!$I$2:$I$87,MATCH(B32,Analysis!$G$2:$G$87,0))</f>
        <v>5</v>
      </c>
      <c r="E32" s="16" t="n">
        <f aca="false">IFERROR(D32/C32,0)</f>
        <v>0.3125</v>
      </c>
      <c r="F32" s="12" t="str">
        <f aca="false">IF(AND(E32&gt;=0.4,C32&gt;=8),"High",IF(E32&gt;=0.25,"Medium","Low"))</f>
        <v>Medium</v>
      </c>
    </row>
    <row r="33" customFormat="false" ht="15" hidden="false" customHeight="false" outlineLevel="0" collapsed="false">
      <c r="A33" s="12" t="n">
        <v>32</v>
      </c>
      <c r="B33" s="12" t="str">
        <f aca="false">INDEX(Analysis!$G$2:$G$87,MATCH(LARGE(Analysis!$K$2:$K$87,A33),Analysis!$K$2:$K$87,0))</f>
        <v>Metoprolol</v>
      </c>
      <c r="C33" s="12" t="n">
        <f aca="false">INDEX(Analysis!$H$2:$H$87,MATCH(B33,Analysis!$G$2:$G$87,0))</f>
        <v>13</v>
      </c>
      <c r="D33" s="12" t="n">
        <f aca="false">INDEX(Analysis!$I$2:$I$87,MATCH(B33,Analysis!$G$2:$G$87,0))</f>
        <v>5</v>
      </c>
      <c r="E33" s="16" t="n">
        <f aca="false">IFERROR(D33/C33,0)</f>
        <v>0.384615384615385</v>
      </c>
      <c r="F33" s="12" t="str">
        <f aca="false">IF(AND(E33&gt;=0.4,C33&gt;=8),"High",IF(E33&gt;=0.25,"Medium","Low"))</f>
        <v>Medium</v>
      </c>
    </row>
    <row r="34" customFormat="false" ht="15" hidden="false" customHeight="false" outlineLevel="0" collapsed="false">
      <c r="A34" s="12" t="n">
        <v>33</v>
      </c>
      <c r="B34" s="12" t="str">
        <f aca="false">INDEX(Analysis!$G$2:$G$87,MATCH(LARGE(Analysis!$K$2:$K$87,A34),Analysis!$K$2:$K$87,0))</f>
        <v>Propranolol</v>
      </c>
      <c r="C34" s="12" t="n">
        <f aca="false">INDEX(Analysis!$H$2:$H$87,MATCH(B34,Analysis!$G$2:$G$87,0))</f>
        <v>9</v>
      </c>
      <c r="D34" s="12" t="n">
        <f aca="false">INDEX(Analysis!$I$2:$I$87,MATCH(B34,Analysis!$G$2:$G$87,0))</f>
        <v>5</v>
      </c>
      <c r="E34" s="16" t="n">
        <f aca="false">IFERROR(D34/C34,0)</f>
        <v>0.555555555555556</v>
      </c>
      <c r="F34" s="12" t="str">
        <f aca="false">IF(AND(E34&gt;=0.4,C34&gt;=8),"High",IF(E34&gt;=0.25,"Medium","Low"))</f>
        <v>High</v>
      </c>
    </row>
    <row r="35" customFormat="false" ht="15" hidden="false" customHeight="false" outlineLevel="0" collapsed="false">
      <c r="A35" s="12" t="n">
        <v>34</v>
      </c>
      <c r="B35" s="12" t="str">
        <f aca="false">INDEX(Analysis!$G$2:$G$87,MATCH(LARGE(Analysis!$K$2:$K$87,A35),Analysis!$K$2:$K$87,0))</f>
        <v>Furosemide</v>
      </c>
      <c r="C35" s="12" t="n">
        <f aca="false">INDEX(Analysis!$H$2:$H$87,MATCH(B35,Analysis!$G$2:$G$87,0))</f>
        <v>9</v>
      </c>
      <c r="D35" s="12" t="n">
        <f aca="false">INDEX(Analysis!$I$2:$I$87,MATCH(B35,Analysis!$G$2:$G$87,0))</f>
        <v>5</v>
      </c>
      <c r="E35" s="16" t="n">
        <f aca="false">IFERROR(D35/C35,0)</f>
        <v>0.555555555555556</v>
      </c>
      <c r="F35" s="12" t="str">
        <f aca="false">IF(AND(E35&gt;=0.4,C35&gt;=8),"High",IF(E35&gt;=0.25,"Medium","Low"))</f>
        <v>High</v>
      </c>
    </row>
    <row r="36" customFormat="false" ht="15" hidden="false" customHeight="false" outlineLevel="0" collapsed="false">
      <c r="A36" s="12" t="n">
        <v>35</v>
      </c>
      <c r="B36" s="12" t="str">
        <f aca="false">INDEX(Analysis!$G$2:$G$87,MATCH(LARGE(Analysis!$K$2:$K$87,A36),Analysis!$K$2:$K$87,0))</f>
        <v>Linezolid</v>
      </c>
      <c r="C36" s="12" t="n">
        <f aca="false">INDEX(Analysis!$H$2:$H$87,MATCH(B36,Analysis!$G$2:$G$87,0))</f>
        <v>8</v>
      </c>
      <c r="D36" s="12" t="n">
        <f aca="false">INDEX(Analysis!$I$2:$I$87,MATCH(B36,Analysis!$G$2:$G$87,0))</f>
        <v>5</v>
      </c>
      <c r="E36" s="16" t="n">
        <f aca="false">IFERROR(D36/C36,0)</f>
        <v>0.625</v>
      </c>
      <c r="F36" s="12" t="str">
        <f aca="false">IF(AND(E36&gt;=0.4,C36&gt;=8),"High",IF(E36&gt;=0.25,"Medium","Low"))</f>
        <v>High</v>
      </c>
    </row>
    <row r="37" customFormat="false" ht="15" hidden="false" customHeight="false" outlineLevel="0" collapsed="false">
      <c r="A37" s="12" t="n">
        <v>36</v>
      </c>
      <c r="B37" s="12" t="str">
        <f aca="false">INDEX(Analysis!$G$2:$G$87,MATCH(LARGE(Analysis!$K$2:$K$87,A37),Analysis!$K$2:$K$87,0))</f>
        <v>Atorvastatin</v>
      </c>
      <c r="C37" s="12" t="n">
        <f aca="false">INDEX(Analysis!$H$2:$H$87,MATCH(B37,Analysis!$G$2:$G$87,0))</f>
        <v>30</v>
      </c>
      <c r="D37" s="12" t="n">
        <f aca="false">INDEX(Analysis!$I$2:$I$87,MATCH(B37,Analysis!$G$2:$G$87,0))</f>
        <v>4</v>
      </c>
      <c r="E37" s="16" t="n">
        <f aca="false">IFERROR(D37/C37,0)</f>
        <v>0.133333333333333</v>
      </c>
      <c r="F37" s="12" t="str">
        <f aca="false">IF(AND(E37&gt;=0.4,C37&gt;=8),"High",IF(E37&gt;=0.25,"Medium","Low"))</f>
        <v>Low</v>
      </c>
    </row>
    <row r="38" customFormat="false" ht="15" hidden="false" customHeight="false" outlineLevel="0" collapsed="false">
      <c r="A38" s="12" t="n">
        <v>37</v>
      </c>
      <c r="B38" s="12" t="str">
        <f aca="false">INDEX(Analysis!$G$2:$G$87,MATCH(LARGE(Analysis!$K$2:$K$87,A38),Analysis!$K$2:$K$87,0))</f>
        <v>Doxycycline</v>
      </c>
      <c r="C38" s="12" t="n">
        <f aca="false">INDEX(Analysis!$H$2:$H$87,MATCH(B38,Analysis!$G$2:$G$87,0))</f>
        <v>20</v>
      </c>
      <c r="D38" s="12" t="n">
        <f aca="false">INDEX(Analysis!$I$2:$I$87,MATCH(B38,Analysis!$G$2:$G$87,0))</f>
        <v>4</v>
      </c>
      <c r="E38" s="16" t="n">
        <f aca="false">IFERROR(D38/C38,0)</f>
        <v>0.2</v>
      </c>
      <c r="F38" s="12" t="str">
        <f aca="false">IF(AND(E38&gt;=0.4,C38&gt;=8),"High",IF(E38&gt;=0.25,"Medium","Low"))</f>
        <v>Low</v>
      </c>
    </row>
    <row r="39" customFormat="false" ht="15" hidden="false" customHeight="false" outlineLevel="0" collapsed="false">
      <c r="A39" s="12" t="n">
        <v>38</v>
      </c>
      <c r="B39" s="12" t="str">
        <f aca="false">INDEX(Analysis!$G$2:$G$87,MATCH(LARGE(Analysis!$K$2:$K$87,A39),Analysis!$K$2:$K$87,0))</f>
        <v>Enalapril</v>
      </c>
      <c r="C39" s="12" t="n">
        <f aca="false">INDEX(Analysis!$H$2:$H$87,MATCH(B39,Analysis!$G$2:$G$87,0))</f>
        <v>18</v>
      </c>
      <c r="D39" s="12" t="n">
        <f aca="false">INDEX(Analysis!$I$2:$I$87,MATCH(B39,Analysis!$G$2:$G$87,0))</f>
        <v>4</v>
      </c>
      <c r="E39" s="16" t="n">
        <f aca="false">IFERROR(D39/C39,0)</f>
        <v>0.222222222222222</v>
      </c>
      <c r="F39" s="12" t="str">
        <f aca="false">IF(AND(E39&gt;=0.4,C39&gt;=8),"High",IF(E39&gt;=0.25,"Medium","Low"))</f>
        <v>Low</v>
      </c>
    </row>
    <row r="40" customFormat="false" ht="15" hidden="false" customHeight="false" outlineLevel="0" collapsed="false">
      <c r="A40" s="12" t="n">
        <v>39</v>
      </c>
      <c r="B40" s="12" t="str">
        <f aca="false">INDEX(Analysis!$G$2:$G$87,MATCH(LARGE(Analysis!$K$2:$K$87,A40),Analysis!$K$2:$K$87,0))</f>
        <v>Rivaroxaban</v>
      </c>
      <c r="C40" s="12" t="n">
        <f aca="false">INDEX(Analysis!$H$2:$H$87,MATCH(B40,Analysis!$G$2:$G$87,0))</f>
        <v>15</v>
      </c>
      <c r="D40" s="12" t="n">
        <f aca="false">INDEX(Analysis!$I$2:$I$87,MATCH(B40,Analysis!$G$2:$G$87,0))</f>
        <v>4</v>
      </c>
      <c r="E40" s="16" t="n">
        <f aca="false">IFERROR(D40/C40,0)</f>
        <v>0.266666666666667</v>
      </c>
      <c r="F40" s="12" t="str">
        <f aca="false">IF(AND(E40&gt;=0.4,C40&gt;=8),"High",IF(E40&gt;=0.25,"Medium","Low"))</f>
        <v>Medium</v>
      </c>
    </row>
    <row r="41" customFormat="false" ht="15" hidden="false" customHeight="false" outlineLevel="0" collapsed="false">
      <c r="A41" s="12" t="n">
        <v>40</v>
      </c>
      <c r="B41" s="12" t="str">
        <f aca="false">INDEX(Analysis!$G$2:$G$87,MATCH(LARGE(Analysis!$K$2:$K$87,A41),Analysis!$K$2:$K$87,0))</f>
        <v>Spironolactone</v>
      </c>
      <c r="C41" s="12" t="n">
        <f aca="false">INDEX(Analysis!$H$2:$H$87,MATCH(B41,Analysis!$G$2:$G$87,0))</f>
        <v>12</v>
      </c>
      <c r="D41" s="12" t="n">
        <f aca="false">INDEX(Analysis!$I$2:$I$87,MATCH(B41,Analysis!$G$2:$G$87,0))</f>
        <v>4</v>
      </c>
      <c r="E41" s="16" t="n">
        <f aca="false">IFERROR(D41/C41,0)</f>
        <v>0.333333333333333</v>
      </c>
      <c r="F41" s="12" t="str">
        <f aca="false">IF(AND(E41&gt;=0.4,C41&gt;=8),"High",IF(E41&gt;=0.25,"Medium","Low"))</f>
        <v>Medium</v>
      </c>
    </row>
    <row r="42" customFormat="false" ht="15" hidden="false" customHeight="false" outlineLevel="0" collapsed="false">
      <c r="A42" s="12" t="n">
        <v>41</v>
      </c>
      <c r="B42" s="12" t="str">
        <f aca="false">INDEX(Analysis!$G$2:$G$87,MATCH(LARGE(Analysis!$K$2:$K$87,A42),Analysis!$K$2:$K$87,0))</f>
        <v>Clarithromycin</v>
      </c>
      <c r="C42" s="12" t="n">
        <f aca="false">INDEX(Analysis!$H$2:$H$87,MATCH(B42,Analysis!$G$2:$G$87,0))</f>
        <v>12</v>
      </c>
      <c r="D42" s="12" t="n">
        <f aca="false">INDEX(Analysis!$I$2:$I$87,MATCH(B42,Analysis!$G$2:$G$87,0))</f>
        <v>4</v>
      </c>
      <c r="E42" s="16" t="n">
        <f aca="false">IFERROR(D42/C42,0)</f>
        <v>0.333333333333333</v>
      </c>
      <c r="F42" s="12" t="str">
        <f aca="false">IF(AND(E42&gt;=0.4,C42&gt;=8),"High",IF(E42&gt;=0.25,"Medium","Low"))</f>
        <v>Medium</v>
      </c>
    </row>
    <row r="43" customFormat="false" ht="15" hidden="false" customHeight="false" outlineLevel="0" collapsed="false">
      <c r="A43" s="12" t="n">
        <v>42</v>
      </c>
      <c r="B43" s="12" t="str">
        <f aca="false">INDEX(Analysis!$G$2:$G$87,MATCH(LARGE(Analysis!$K$2:$K$87,A43),Analysis!$K$2:$K$87,0))</f>
        <v>Vancomycin</v>
      </c>
      <c r="C43" s="12" t="n">
        <f aca="false">INDEX(Analysis!$H$2:$H$87,MATCH(B43,Analysis!$G$2:$G$87,0))</f>
        <v>9</v>
      </c>
      <c r="D43" s="12" t="n">
        <f aca="false">INDEX(Analysis!$I$2:$I$87,MATCH(B43,Analysis!$G$2:$G$87,0))</f>
        <v>4</v>
      </c>
      <c r="E43" s="16" t="n">
        <f aca="false">IFERROR(D43/C43,0)</f>
        <v>0.444444444444444</v>
      </c>
      <c r="F43" s="12" t="str">
        <f aca="false">IF(AND(E43&gt;=0.4,C43&gt;=8),"High",IF(E43&gt;=0.25,"Medium","Low"))</f>
        <v>High</v>
      </c>
    </row>
    <row r="44" customFormat="false" ht="15" hidden="false" customHeight="false" outlineLevel="0" collapsed="false">
      <c r="A44" s="12" t="n">
        <v>43</v>
      </c>
      <c r="B44" s="12" t="str">
        <f aca="false">INDEX(Analysis!$G$2:$G$87,MATCH(LARGE(Analysis!$K$2:$K$87,A44),Analysis!$K$2:$K$87,0))</f>
        <v>Artesunate</v>
      </c>
      <c r="C44" s="12" t="n">
        <f aca="false">INDEX(Analysis!$H$2:$H$87,MATCH(B44,Analysis!$G$2:$G$87,0))</f>
        <v>7</v>
      </c>
      <c r="D44" s="12" t="n">
        <f aca="false">INDEX(Analysis!$I$2:$I$87,MATCH(B44,Analysis!$G$2:$G$87,0))</f>
        <v>4</v>
      </c>
      <c r="E44" s="16" t="n">
        <f aca="false">IFERROR(D44/C44,0)</f>
        <v>0.571428571428571</v>
      </c>
      <c r="F44" s="12" t="str">
        <f aca="false">IF(AND(E44&gt;=0.4,C44&gt;=8),"High",IF(E44&gt;=0.25,"Medium","Low"))</f>
        <v>Medium</v>
      </c>
    </row>
    <row r="45" customFormat="false" ht="15" hidden="false" customHeight="false" outlineLevel="0" collapsed="false">
      <c r="A45" s="12" t="n">
        <v>44</v>
      </c>
      <c r="B45" s="12" t="str">
        <f aca="false">INDEX(Analysis!$G$2:$G$87,MATCH(LARGE(Analysis!$K$2:$K$87,A45),Analysis!$K$2:$K$87,0))</f>
        <v>Heparin</v>
      </c>
      <c r="C45" s="12" t="n">
        <f aca="false">INDEX(Analysis!$H$2:$H$87,MATCH(B45,Analysis!$G$2:$G$87,0))</f>
        <v>5</v>
      </c>
      <c r="D45" s="12" t="n">
        <f aca="false">INDEX(Analysis!$I$2:$I$87,MATCH(B45,Analysis!$G$2:$G$87,0))</f>
        <v>4</v>
      </c>
      <c r="E45" s="16" t="n">
        <f aca="false">IFERROR(D45/C45,0)</f>
        <v>0.8</v>
      </c>
      <c r="F45" s="12" t="str">
        <f aca="false">IF(AND(E45&gt;=0.4,C45&gt;=8),"High",IF(E45&gt;=0.25,"Medium","Low"))</f>
        <v>Medium</v>
      </c>
    </row>
    <row r="46" customFormat="false" ht="15" hidden="false" customHeight="false" outlineLevel="0" collapsed="false">
      <c r="A46" s="12" t="n">
        <v>45</v>
      </c>
      <c r="B46" s="12" t="str">
        <f aca="false">INDEX(Analysis!$G$2:$G$87,MATCH(LARGE(Analysis!$K$2:$K$87,A46),Analysis!$K$2:$K$87,0))</f>
        <v>Aspirin</v>
      </c>
      <c r="C46" s="12" t="n">
        <f aca="false">INDEX(Analysis!$H$2:$H$87,MATCH(B46,Analysis!$G$2:$G$87,0))</f>
        <v>21</v>
      </c>
      <c r="D46" s="12" t="n">
        <f aca="false">INDEX(Analysis!$I$2:$I$87,MATCH(B46,Analysis!$G$2:$G$87,0))</f>
        <v>3</v>
      </c>
      <c r="E46" s="16" t="n">
        <f aca="false">IFERROR(D46/C46,0)</f>
        <v>0.142857142857143</v>
      </c>
      <c r="F46" s="12" t="str">
        <f aca="false">IF(AND(E46&gt;=0.4,C46&gt;=8),"High",IF(E46&gt;=0.25,"Medium","Low"))</f>
        <v>Low</v>
      </c>
    </row>
    <row r="47" customFormat="false" ht="15" hidden="false" customHeight="false" outlineLevel="0" collapsed="false">
      <c r="A47" s="12" t="n">
        <v>46</v>
      </c>
      <c r="B47" s="12" t="str">
        <f aca="false">INDEX(Analysis!$G$2:$G$87,MATCH(LARGE(Analysis!$K$2:$K$87,A47),Analysis!$K$2:$K$87,0))</f>
        <v>Levetiracetam</v>
      </c>
      <c r="C47" s="12" t="n">
        <f aca="false">INDEX(Analysis!$H$2:$H$87,MATCH(B47,Analysis!$G$2:$G$87,0))</f>
        <v>14</v>
      </c>
      <c r="D47" s="12" t="n">
        <f aca="false">INDEX(Analysis!$I$2:$I$87,MATCH(B47,Analysis!$G$2:$G$87,0))</f>
        <v>3</v>
      </c>
      <c r="E47" s="16" t="n">
        <f aca="false">IFERROR(D47/C47,0)</f>
        <v>0.214285714285714</v>
      </c>
      <c r="F47" s="12" t="str">
        <f aca="false">IF(AND(E47&gt;=0.4,C47&gt;=8),"High",IF(E47&gt;=0.25,"Medium","Low"))</f>
        <v>Low</v>
      </c>
    </row>
    <row r="48" customFormat="false" ht="15" hidden="false" customHeight="false" outlineLevel="0" collapsed="false">
      <c r="A48" s="12" t="n">
        <v>47</v>
      </c>
      <c r="B48" s="12" t="str">
        <f aca="false">INDEX(Analysis!$G$2:$G$87,MATCH(LARGE(Analysis!$K$2:$K$87,A48),Analysis!$K$2:$K$87,0))</f>
        <v>Simvastatin</v>
      </c>
      <c r="C48" s="12" t="n">
        <f aca="false">INDEX(Analysis!$H$2:$H$87,MATCH(B48,Analysis!$G$2:$G$87,0))</f>
        <v>12</v>
      </c>
      <c r="D48" s="12" t="n">
        <f aca="false">INDEX(Analysis!$I$2:$I$87,MATCH(B48,Analysis!$G$2:$G$87,0))</f>
        <v>3</v>
      </c>
      <c r="E48" s="16" t="n">
        <f aca="false">IFERROR(D48/C48,0)</f>
        <v>0.25</v>
      </c>
      <c r="F48" s="12" t="str">
        <f aca="false">IF(AND(E48&gt;=0.4,C48&gt;=8),"High",IF(E48&gt;=0.25,"Medium","Low"))</f>
        <v>Medium</v>
      </c>
    </row>
    <row r="49" customFormat="false" ht="15" hidden="false" customHeight="false" outlineLevel="0" collapsed="false">
      <c r="A49" s="12" t="n">
        <v>48</v>
      </c>
      <c r="B49" s="12" t="str">
        <f aca="false">INDEX(Analysis!$G$2:$G$87,MATCH(LARGE(Analysis!$K$2:$K$87,A49),Analysis!$K$2:$K$87,0))</f>
        <v>Sertraline</v>
      </c>
      <c r="C49" s="12" t="n">
        <f aca="false">INDEX(Analysis!$H$2:$H$87,MATCH(B49,Analysis!$G$2:$G$87,0))</f>
        <v>12</v>
      </c>
      <c r="D49" s="12" t="n">
        <f aca="false">INDEX(Analysis!$I$2:$I$87,MATCH(B49,Analysis!$G$2:$G$87,0))</f>
        <v>3</v>
      </c>
      <c r="E49" s="16" t="n">
        <f aca="false">IFERROR(D49/C49,0)</f>
        <v>0.25</v>
      </c>
      <c r="F49" s="12" t="str">
        <f aca="false">IF(AND(E49&gt;=0.4,C49&gt;=8),"High",IF(E49&gt;=0.25,"Medium","Low"))</f>
        <v>Medium</v>
      </c>
    </row>
    <row r="50" customFormat="false" ht="15" hidden="false" customHeight="false" outlineLevel="0" collapsed="false">
      <c r="A50" s="12" t="n">
        <v>49</v>
      </c>
      <c r="B50" s="12" t="str">
        <f aca="false">INDEX(Analysis!$G$2:$G$87,MATCH(LARGE(Analysis!$K$2:$K$87,A50),Analysis!$K$2:$K$87,0))</f>
        <v>Glimepiride</v>
      </c>
      <c r="C50" s="12" t="n">
        <f aca="false">INDEX(Analysis!$H$2:$H$87,MATCH(B50,Analysis!$G$2:$G$87,0))</f>
        <v>11</v>
      </c>
      <c r="D50" s="12" t="n">
        <f aca="false">INDEX(Analysis!$I$2:$I$87,MATCH(B50,Analysis!$G$2:$G$87,0))</f>
        <v>3</v>
      </c>
      <c r="E50" s="16" t="n">
        <f aca="false">IFERROR(D50/C50,0)</f>
        <v>0.272727272727273</v>
      </c>
      <c r="F50" s="12" t="str">
        <f aca="false">IF(AND(E50&gt;=0.4,C50&gt;=8),"High",IF(E50&gt;=0.25,"Medium","Low"))</f>
        <v>Medium</v>
      </c>
    </row>
    <row r="51" customFormat="false" ht="15" hidden="false" customHeight="false" outlineLevel="0" collapsed="false">
      <c r="A51" s="12" t="n">
        <v>50</v>
      </c>
      <c r="B51" s="12" t="str">
        <f aca="false">INDEX(Analysis!$G$2:$G$87,MATCH(LARGE(Analysis!$K$2:$K$87,A51),Analysis!$K$2:$K$87,0))</f>
        <v>Acyclovir</v>
      </c>
      <c r="C51" s="12" t="n">
        <f aca="false">INDEX(Analysis!$H$2:$H$87,MATCH(B51,Analysis!$G$2:$G$87,0))</f>
        <v>11</v>
      </c>
      <c r="D51" s="12" t="n">
        <f aca="false">INDEX(Analysis!$I$2:$I$87,MATCH(B51,Analysis!$G$2:$G$87,0))</f>
        <v>3</v>
      </c>
      <c r="E51" s="16" t="n">
        <f aca="false">IFERROR(D51/C51,0)</f>
        <v>0.272727272727273</v>
      </c>
      <c r="F51" s="12" t="str">
        <f aca="false">IF(AND(E51&gt;=0.4,C51&gt;=8),"High",IF(E51&gt;=0.25,"Medium","Low"))</f>
        <v>Medium</v>
      </c>
    </row>
    <row r="52" customFormat="false" ht="15" hidden="false" customHeight="false" outlineLevel="0" collapsed="false">
      <c r="A52" s="12" t="n">
        <v>51</v>
      </c>
      <c r="B52" s="12" t="str">
        <f aca="false">INDEX(Analysis!$G$2:$G$87,MATCH(LARGE(Analysis!$K$2:$K$87,A52),Analysis!$K$2:$K$87,0))</f>
        <v>Hydroxychloroquine</v>
      </c>
      <c r="C52" s="12" t="n">
        <f aca="false">INDEX(Analysis!$H$2:$H$87,MATCH(B52,Analysis!$G$2:$G$87,0))</f>
        <v>10</v>
      </c>
      <c r="D52" s="12" t="n">
        <f aca="false">INDEX(Analysis!$I$2:$I$87,MATCH(B52,Analysis!$G$2:$G$87,0))</f>
        <v>3</v>
      </c>
      <c r="E52" s="16" t="n">
        <f aca="false">IFERROR(D52/C52,0)</f>
        <v>0.3</v>
      </c>
      <c r="F52" s="12" t="str">
        <f aca="false">IF(AND(E52&gt;=0.4,C52&gt;=8),"High",IF(E52&gt;=0.25,"Medium","Low"))</f>
        <v>Medium</v>
      </c>
    </row>
    <row r="53" customFormat="false" ht="15" hidden="false" customHeight="false" outlineLevel="0" collapsed="false">
      <c r="A53" s="12" t="n">
        <v>52</v>
      </c>
      <c r="B53" s="12" t="str">
        <f aca="false">INDEX(Analysis!$G$2:$G$87,MATCH(LARGE(Analysis!$K$2:$K$87,A53),Analysis!$K$2:$K$87,0))</f>
        <v>Codeine</v>
      </c>
      <c r="C53" s="12" t="n">
        <f aca="false">INDEX(Analysis!$H$2:$H$87,MATCH(B53,Analysis!$G$2:$G$87,0))</f>
        <v>10</v>
      </c>
      <c r="D53" s="12" t="n">
        <f aca="false">INDEX(Analysis!$I$2:$I$87,MATCH(B53,Analysis!$G$2:$G$87,0))</f>
        <v>3</v>
      </c>
      <c r="E53" s="16" t="n">
        <f aca="false">IFERROR(D53/C53,0)</f>
        <v>0.3</v>
      </c>
      <c r="F53" s="12" t="str">
        <f aca="false">IF(AND(E53&gt;=0.4,C53&gt;=8),"High",IF(E53&gt;=0.25,"Medium","Low"))</f>
        <v>Medium</v>
      </c>
    </row>
    <row r="54" customFormat="false" ht="15" hidden="false" customHeight="false" outlineLevel="0" collapsed="false">
      <c r="A54" s="12" t="n">
        <v>53</v>
      </c>
      <c r="B54" s="12" t="str">
        <f aca="false">INDEX(Analysis!$G$2:$G$87,MATCH(LARGE(Analysis!$K$2:$K$87,A54),Analysis!$K$2:$K$87,0))</f>
        <v>Cefixime</v>
      </c>
      <c r="C54" s="12" t="n">
        <f aca="false">INDEX(Analysis!$H$2:$H$87,MATCH(B54,Analysis!$G$2:$G$87,0))</f>
        <v>10</v>
      </c>
      <c r="D54" s="12" t="n">
        <f aca="false">INDEX(Analysis!$I$2:$I$87,MATCH(B54,Analysis!$G$2:$G$87,0))</f>
        <v>3</v>
      </c>
      <c r="E54" s="16" t="n">
        <f aca="false">IFERROR(D54/C54,0)</f>
        <v>0.3</v>
      </c>
      <c r="F54" s="12" t="str">
        <f aca="false">IF(AND(E54&gt;=0.4,C54&gt;=8),"High",IF(E54&gt;=0.25,"Medium","Low"))</f>
        <v>Medium</v>
      </c>
    </row>
    <row r="55" customFormat="false" ht="15" hidden="false" customHeight="false" outlineLevel="0" collapsed="false">
      <c r="A55" s="12" t="n">
        <v>54</v>
      </c>
      <c r="B55" s="12" t="str">
        <f aca="false">INDEX(Analysis!$G$2:$G$87,MATCH(LARGE(Analysis!$K$2:$K$87,A55),Analysis!$K$2:$K$87,0))</f>
        <v>Celecoxib</v>
      </c>
      <c r="C55" s="12" t="n">
        <f aca="false">INDEX(Analysis!$H$2:$H$87,MATCH(B55,Analysis!$G$2:$G$87,0))</f>
        <v>9</v>
      </c>
      <c r="D55" s="12" t="n">
        <f aca="false">INDEX(Analysis!$I$2:$I$87,MATCH(B55,Analysis!$G$2:$G$87,0))</f>
        <v>3</v>
      </c>
      <c r="E55" s="16" t="n">
        <f aca="false">IFERROR(D55/C55,0)</f>
        <v>0.333333333333333</v>
      </c>
      <c r="F55" s="12" t="str">
        <f aca="false">IF(AND(E55&gt;=0.4,C55&gt;=8),"High",IF(E55&gt;=0.25,"Medium","Low"))</f>
        <v>Medium</v>
      </c>
    </row>
    <row r="56" customFormat="false" ht="15" hidden="false" customHeight="false" outlineLevel="0" collapsed="false">
      <c r="A56" s="12" t="n">
        <v>55</v>
      </c>
      <c r="B56" s="12" t="str">
        <f aca="false">INDEX(Analysis!$G$2:$G$87,MATCH(LARGE(Analysis!$K$2:$K$87,A56),Analysis!$K$2:$K$87,0))</f>
        <v>Cisplatin</v>
      </c>
      <c r="C56" s="12" t="n">
        <f aca="false">INDEX(Analysis!$H$2:$H$87,MATCH(B56,Analysis!$G$2:$G$87,0))</f>
        <v>8</v>
      </c>
      <c r="D56" s="12" t="n">
        <f aca="false">INDEX(Analysis!$I$2:$I$87,MATCH(B56,Analysis!$G$2:$G$87,0))</f>
        <v>3</v>
      </c>
      <c r="E56" s="16" t="n">
        <f aca="false">IFERROR(D56/C56,0)</f>
        <v>0.375</v>
      </c>
      <c r="F56" s="12" t="str">
        <f aca="false">IF(AND(E56&gt;=0.4,C56&gt;=8),"High",IF(E56&gt;=0.25,"Medium","Low"))</f>
        <v>Medium</v>
      </c>
    </row>
    <row r="57" customFormat="false" ht="15" hidden="false" customHeight="false" outlineLevel="0" collapsed="false">
      <c r="A57" s="12" t="n">
        <v>56</v>
      </c>
      <c r="B57" s="12" t="str">
        <f aca="false">INDEX(Analysis!$G$2:$G$87,MATCH(LARGE(Analysis!$K$2:$K$87,A57),Analysis!$K$2:$K$87,0))</f>
        <v>Pantoprazole</v>
      </c>
      <c r="C57" s="12" t="n">
        <f aca="false">INDEX(Analysis!$H$2:$H$87,MATCH(B57,Analysis!$G$2:$G$87,0))</f>
        <v>17</v>
      </c>
      <c r="D57" s="12" t="n">
        <f aca="false">INDEX(Analysis!$I$2:$I$87,MATCH(B57,Analysis!$G$2:$G$87,0))</f>
        <v>2</v>
      </c>
      <c r="E57" s="16" t="n">
        <f aca="false">IFERROR(D57/C57,0)</f>
        <v>0.117647058823529</v>
      </c>
      <c r="F57" s="12" t="str">
        <f aca="false">IF(AND(E57&gt;=0.4,C57&gt;=8),"High",IF(E57&gt;=0.25,"Medium","Low"))</f>
        <v>Low</v>
      </c>
    </row>
    <row r="58" customFormat="false" ht="15" hidden="false" customHeight="false" outlineLevel="0" collapsed="false">
      <c r="A58" s="12" t="n">
        <v>57</v>
      </c>
      <c r="B58" s="12" t="str">
        <f aca="false">INDEX(Analysis!$G$2:$G$87,MATCH(LARGE(Analysis!$K$2:$K$87,A58),Analysis!$K$2:$K$87,0))</f>
        <v>Ceftriaxone</v>
      </c>
      <c r="C58" s="12" t="n">
        <f aca="false">INDEX(Analysis!$H$2:$H$87,MATCH(B58,Analysis!$G$2:$G$87,0))</f>
        <v>17</v>
      </c>
      <c r="D58" s="12" t="n">
        <f aca="false">INDEX(Analysis!$I$2:$I$87,MATCH(B58,Analysis!$G$2:$G$87,0))</f>
        <v>2</v>
      </c>
      <c r="E58" s="16" t="n">
        <f aca="false">IFERROR(D58/C58,0)</f>
        <v>0.117647058823529</v>
      </c>
      <c r="F58" s="12" t="str">
        <f aca="false">IF(AND(E58&gt;=0.4,C58&gt;=8),"High",IF(E58&gt;=0.25,"Medium","Low"))</f>
        <v>Low</v>
      </c>
    </row>
    <row r="59" customFormat="false" ht="15" hidden="false" customHeight="false" outlineLevel="0" collapsed="false">
      <c r="A59" s="12" t="n">
        <v>58</v>
      </c>
      <c r="B59" s="12" t="str">
        <f aca="false">INDEX(Analysis!$G$2:$G$87,MATCH(LARGE(Analysis!$K$2:$K$87,A59),Analysis!$K$2:$K$87,0))</f>
        <v>Atenolol</v>
      </c>
      <c r="C59" s="12" t="n">
        <f aca="false">INDEX(Analysis!$H$2:$H$87,MATCH(B59,Analysis!$G$2:$G$87,0))</f>
        <v>13</v>
      </c>
      <c r="D59" s="12" t="n">
        <f aca="false">INDEX(Analysis!$I$2:$I$87,MATCH(B59,Analysis!$G$2:$G$87,0))</f>
        <v>2</v>
      </c>
      <c r="E59" s="16" t="n">
        <f aca="false">IFERROR(D59/C59,0)</f>
        <v>0.153846153846154</v>
      </c>
      <c r="F59" s="12" t="str">
        <f aca="false">IF(AND(E59&gt;=0.4,C59&gt;=8),"High",IF(E59&gt;=0.25,"Medium","Low"))</f>
        <v>Low</v>
      </c>
    </row>
    <row r="60" customFormat="false" ht="15" hidden="false" customHeight="false" outlineLevel="0" collapsed="false">
      <c r="A60" s="12" t="n">
        <v>59</v>
      </c>
      <c r="B60" s="12" t="str">
        <f aca="false">INDEX(Analysis!$G$2:$G$87,MATCH(LARGE(Analysis!$K$2:$K$87,A60),Analysis!$K$2:$K$87,0))</f>
        <v>Pregabalin</v>
      </c>
      <c r="C60" s="12" t="n">
        <f aca="false">INDEX(Analysis!$H$2:$H$87,MATCH(B60,Analysis!$G$2:$G$87,0))</f>
        <v>12</v>
      </c>
      <c r="D60" s="12" t="n">
        <f aca="false">INDEX(Analysis!$I$2:$I$87,MATCH(B60,Analysis!$G$2:$G$87,0))</f>
        <v>2</v>
      </c>
      <c r="E60" s="16" t="n">
        <f aca="false">IFERROR(D60/C60,0)</f>
        <v>0.166666666666667</v>
      </c>
      <c r="F60" s="12" t="str">
        <f aca="false">IF(AND(E60&gt;=0.4,C60&gt;=8),"High",IF(E60&gt;=0.25,"Medium","Low"))</f>
        <v>Low</v>
      </c>
    </row>
    <row r="61" customFormat="false" ht="15" hidden="false" customHeight="false" outlineLevel="0" collapsed="false">
      <c r="A61" s="12" t="n">
        <v>60</v>
      </c>
      <c r="B61" s="12" t="str">
        <f aca="false">INDEX(Analysis!$G$2:$G$87,MATCH(LARGE(Analysis!$K$2:$K$87,A61),Analysis!$K$2:$K$87,0))</f>
        <v>Cetirizine</v>
      </c>
      <c r="C61" s="12" t="n">
        <f aca="false">INDEX(Analysis!$H$2:$H$87,MATCH(B61,Analysis!$G$2:$G$87,0))</f>
        <v>12</v>
      </c>
      <c r="D61" s="12" t="n">
        <f aca="false">INDEX(Analysis!$I$2:$I$87,MATCH(B61,Analysis!$G$2:$G$87,0))</f>
        <v>2</v>
      </c>
      <c r="E61" s="16" t="n">
        <f aca="false">IFERROR(D61/C61,0)</f>
        <v>0.166666666666667</v>
      </c>
      <c r="F61" s="12" t="str">
        <f aca="false">IF(AND(E61&gt;=0.4,C61&gt;=8),"High",IF(E61&gt;=0.25,"Medium","Low"))</f>
        <v>Low</v>
      </c>
    </row>
    <row r="62" customFormat="false" ht="15" hidden="false" customHeight="false" outlineLevel="0" collapsed="false">
      <c r="A62" s="12" t="n">
        <v>61</v>
      </c>
      <c r="B62" s="12" t="str">
        <f aca="false">INDEX(Analysis!$G$2:$G$87,MATCH(LARGE(Analysis!$K$2:$K$87,A62),Analysis!$K$2:$K$87,0))</f>
        <v>Zolpidem</v>
      </c>
      <c r="C62" s="12" t="n">
        <f aca="false">INDEX(Analysis!$H$2:$H$87,MATCH(B62,Analysis!$G$2:$G$87,0))</f>
        <v>9</v>
      </c>
      <c r="D62" s="12" t="n">
        <f aca="false">INDEX(Analysis!$I$2:$I$87,MATCH(B62,Analysis!$G$2:$G$87,0))</f>
        <v>2</v>
      </c>
      <c r="E62" s="16" t="n">
        <f aca="false">IFERROR(D62/C62,0)</f>
        <v>0.222222222222222</v>
      </c>
      <c r="F62" s="12" t="str">
        <f aca="false">IF(AND(E62&gt;=0.4,C62&gt;=8),"High",IF(E62&gt;=0.25,"Medium","Low"))</f>
        <v>Low</v>
      </c>
    </row>
    <row r="63" customFormat="false" ht="15" hidden="false" customHeight="false" outlineLevel="0" collapsed="false">
      <c r="A63" s="12" t="n">
        <v>62</v>
      </c>
      <c r="B63" s="12" t="str">
        <f aca="false">INDEX(Analysis!$G$2:$G$87,MATCH(LARGE(Analysis!$K$2:$K$87,A63),Analysis!$K$2:$K$87,0))</f>
        <v>Nitrofurantoin</v>
      </c>
      <c r="C63" s="12" t="n">
        <f aca="false">INDEX(Analysis!$H$2:$H$87,MATCH(B63,Analysis!$G$2:$G$87,0))</f>
        <v>8</v>
      </c>
      <c r="D63" s="12" t="n">
        <f aca="false">INDEX(Analysis!$I$2:$I$87,MATCH(B63,Analysis!$G$2:$G$87,0))</f>
        <v>2</v>
      </c>
      <c r="E63" s="16" t="n">
        <f aca="false">IFERROR(D63/C63,0)</f>
        <v>0.25</v>
      </c>
      <c r="F63" s="12" t="str">
        <f aca="false">IF(AND(E63&gt;=0.4,C63&gt;=8),"High",IF(E63&gt;=0.25,"Medium","Low"))</f>
        <v>Medium</v>
      </c>
    </row>
    <row r="64" customFormat="false" ht="15" hidden="false" customHeight="false" outlineLevel="0" collapsed="false">
      <c r="A64" s="12" t="n">
        <v>63</v>
      </c>
      <c r="B64" s="12" t="str">
        <f aca="false">INDEX(Analysis!$G$2:$G$87,MATCH(LARGE(Analysis!$K$2:$K$87,A64),Analysis!$K$2:$K$87,0))</f>
        <v>Ampicillin</v>
      </c>
      <c r="C64" s="12" t="n">
        <f aca="false">INDEX(Analysis!$H$2:$H$87,MATCH(B64,Analysis!$G$2:$G$87,0))</f>
        <v>8</v>
      </c>
      <c r="D64" s="12" t="n">
        <f aca="false">INDEX(Analysis!$I$2:$I$87,MATCH(B64,Analysis!$G$2:$G$87,0))</f>
        <v>2</v>
      </c>
      <c r="E64" s="16" t="n">
        <f aca="false">IFERROR(D64/C64,0)</f>
        <v>0.25</v>
      </c>
      <c r="F64" s="12" t="str">
        <f aca="false">IF(AND(E64&gt;=0.4,C64&gt;=8),"High",IF(E64&gt;=0.25,"Medium","Low"))</f>
        <v>Medium</v>
      </c>
    </row>
    <row r="65" customFormat="false" ht="15" hidden="false" customHeight="false" outlineLevel="0" collapsed="false">
      <c r="A65" s="12" t="n">
        <v>64</v>
      </c>
      <c r="B65" s="12" t="str">
        <f aca="false">INDEX(Analysis!$G$2:$G$87,MATCH(LARGE(Analysis!$K$2:$K$87,A65),Analysis!$K$2:$K$87,0))</f>
        <v>Penicillin V</v>
      </c>
      <c r="C65" s="12" t="n">
        <f aca="false">INDEX(Analysis!$H$2:$H$87,MATCH(B65,Analysis!$G$2:$G$87,0))</f>
        <v>7</v>
      </c>
      <c r="D65" s="12" t="n">
        <f aca="false">INDEX(Analysis!$I$2:$I$87,MATCH(B65,Analysis!$G$2:$G$87,0))</f>
        <v>2</v>
      </c>
      <c r="E65" s="16" t="n">
        <f aca="false">IFERROR(D65/C65,0)</f>
        <v>0.285714285714286</v>
      </c>
      <c r="F65" s="12" t="str">
        <f aca="false">IF(AND(E65&gt;=0.4,C65&gt;=8),"High",IF(E65&gt;=0.25,"Medium","Low"))</f>
        <v>Medium</v>
      </c>
    </row>
    <row r="66" customFormat="false" ht="15" hidden="false" customHeight="false" outlineLevel="0" collapsed="false">
      <c r="A66" s="12" t="n">
        <v>65</v>
      </c>
      <c r="B66" s="12" t="str">
        <f aca="false">INDEX(Analysis!$G$2:$G$87,MATCH(LARGE(Analysis!$K$2:$K$87,A66),Analysis!$K$2:$K$87,0))</f>
        <v>Domperidone</v>
      </c>
      <c r="C66" s="12" t="n">
        <f aca="false">INDEX(Analysis!$H$2:$H$87,MATCH(B66,Analysis!$G$2:$G$87,0))</f>
        <v>7</v>
      </c>
      <c r="D66" s="12" t="n">
        <f aca="false">INDEX(Analysis!$I$2:$I$87,MATCH(B66,Analysis!$G$2:$G$87,0))</f>
        <v>2</v>
      </c>
      <c r="E66" s="16" t="n">
        <f aca="false">IFERROR(D66/C66,0)</f>
        <v>0.285714285714286</v>
      </c>
      <c r="F66" s="12" t="str">
        <f aca="false">IF(AND(E66&gt;=0.4,C66&gt;=8),"High",IF(E66&gt;=0.25,"Medium","Low"))</f>
        <v>Medium</v>
      </c>
    </row>
    <row r="67" customFormat="false" ht="15" hidden="false" customHeight="false" outlineLevel="0" collapsed="false">
      <c r="A67" s="12" t="n">
        <v>66</v>
      </c>
      <c r="B67" s="12" t="str">
        <f aca="false">INDEX(Analysis!$G$2:$G$87,MATCH(LARGE(Analysis!$K$2:$K$87,A67),Analysis!$K$2:$K$87,0))</f>
        <v>Sitagliptin</v>
      </c>
      <c r="C67" s="12" t="n">
        <f aca="false">INDEX(Analysis!$H$2:$H$87,MATCH(B67,Analysis!$G$2:$G$87,0))</f>
        <v>3</v>
      </c>
      <c r="D67" s="12" t="n">
        <f aca="false">INDEX(Analysis!$I$2:$I$87,MATCH(B67,Analysis!$G$2:$G$87,0))</f>
        <v>2</v>
      </c>
      <c r="E67" s="16" t="n">
        <f aca="false">IFERROR(D67/C67,0)</f>
        <v>0.666666666666667</v>
      </c>
      <c r="F67" s="12" t="str">
        <f aca="false">IF(AND(E67&gt;=0.4,C67&gt;=8),"High",IF(E67&gt;=0.25,"Medium","Low"))</f>
        <v>Medium</v>
      </c>
    </row>
    <row r="68" customFormat="false" ht="15" hidden="false" customHeight="false" outlineLevel="0" collapsed="false">
      <c r="A68" s="12" t="n">
        <v>67</v>
      </c>
      <c r="B68" s="12" t="str">
        <f aca="false">INDEX(Analysis!$G$2:$G$87,MATCH(LARGE(Analysis!$K$2:$K$87,A68),Analysis!$K$2:$K$87,0))</f>
        <v>Capecitabine</v>
      </c>
      <c r="C68" s="12" t="n">
        <f aca="false">INDEX(Analysis!$H$2:$H$87,MATCH(B68,Analysis!$G$2:$G$87,0))</f>
        <v>3</v>
      </c>
      <c r="D68" s="12" t="n">
        <f aca="false">INDEX(Analysis!$I$2:$I$87,MATCH(B68,Analysis!$G$2:$G$87,0))</f>
        <v>2</v>
      </c>
      <c r="E68" s="16" t="n">
        <f aca="false">IFERROR(D68/C68,0)</f>
        <v>0.666666666666667</v>
      </c>
      <c r="F68" s="12" t="str">
        <f aca="false">IF(AND(E68&gt;=0.4,C68&gt;=8),"High",IF(E68&gt;=0.25,"Medium","Low"))</f>
        <v>Medium</v>
      </c>
    </row>
    <row r="69" customFormat="false" ht="15" hidden="false" customHeight="false" outlineLevel="0" collapsed="false">
      <c r="A69" s="12" t="n">
        <v>68</v>
      </c>
      <c r="B69" s="12" t="str">
        <f aca="false">INDEX(Analysis!$G$2:$G$87,MATCH(LARGE(Analysis!$K$2:$K$87,A69),Analysis!$K$2:$K$87,0))</f>
        <v>Amlodipine</v>
      </c>
      <c r="C69" s="12" t="n">
        <f aca="false">INDEX(Analysis!$H$2:$H$87,MATCH(B69,Analysis!$G$2:$G$87,0))</f>
        <v>29</v>
      </c>
      <c r="D69" s="12" t="n">
        <f aca="false">INDEX(Analysis!$I$2:$I$87,MATCH(B69,Analysis!$G$2:$G$87,0))</f>
        <v>1</v>
      </c>
      <c r="E69" s="16" t="n">
        <f aca="false">IFERROR(D69/C69,0)</f>
        <v>0.0344827586206897</v>
      </c>
      <c r="F69" s="12" t="str">
        <f aca="false">IF(AND(E69&gt;=0.4,C69&gt;=8),"High",IF(E69&gt;=0.25,"Medium","Low"))</f>
        <v>Low</v>
      </c>
    </row>
    <row r="70" customFormat="false" ht="15" hidden="false" customHeight="false" outlineLevel="0" collapsed="false">
      <c r="A70" s="12" t="n">
        <v>69</v>
      </c>
      <c r="B70" s="12" t="str">
        <f aca="false">INDEX(Analysis!$G$2:$G$87,MATCH(LARGE(Analysis!$K$2:$K$87,A70),Analysis!$K$2:$K$87,0))</f>
        <v>Omeprazole</v>
      </c>
      <c r="C70" s="12" t="n">
        <f aca="false">INDEX(Analysis!$H$2:$H$87,MATCH(B70,Analysis!$G$2:$G$87,0))</f>
        <v>21</v>
      </c>
      <c r="D70" s="12" t="n">
        <f aca="false">INDEX(Analysis!$I$2:$I$87,MATCH(B70,Analysis!$G$2:$G$87,0))</f>
        <v>1</v>
      </c>
      <c r="E70" s="16" t="n">
        <f aca="false">IFERROR(D70/C70,0)</f>
        <v>0.0476190476190476</v>
      </c>
      <c r="F70" s="12" t="str">
        <f aca="false">IF(AND(E70&gt;=0.4,C70&gt;=8),"High",IF(E70&gt;=0.25,"Medium","Low"))</f>
        <v>Low</v>
      </c>
    </row>
    <row r="71" customFormat="false" ht="15" hidden="false" customHeight="false" outlineLevel="0" collapsed="false">
      <c r="A71" s="12" t="n">
        <v>70</v>
      </c>
      <c r="B71" s="12" t="str">
        <f aca="false">INDEX(Analysis!$G$2:$G$87,MATCH(LARGE(Analysis!$K$2:$K$87,A71),Analysis!$K$2:$K$87,0))</f>
        <v>Prednisolone</v>
      </c>
      <c r="C71" s="12" t="n">
        <f aca="false">INDEX(Analysis!$H$2:$H$87,MATCH(B71,Analysis!$G$2:$G$87,0))</f>
        <v>16</v>
      </c>
      <c r="D71" s="12" t="n">
        <f aca="false">INDEX(Analysis!$I$2:$I$87,MATCH(B71,Analysis!$G$2:$G$87,0))</f>
        <v>1</v>
      </c>
      <c r="E71" s="16" t="n">
        <f aca="false">IFERROR(D71/C71,0)</f>
        <v>0.0625</v>
      </c>
      <c r="F71" s="12" t="str">
        <f aca="false">IF(AND(E71&gt;=0.4,C71&gt;=8),"High",IF(E71&gt;=0.25,"Medium","Low"))</f>
        <v>Low</v>
      </c>
    </row>
    <row r="72" customFormat="false" ht="15" hidden="false" customHeight="false" outlineLevel="0" collapsed="false">
      <c r="A72" s="12" t="n">
        <v>71</v>
      </c>
      <c r="B72" s="12" t="str">
        <f aca="false">INDEX(Analysis!$G$2:$G$87,MATCH(LARGE(Analysis!$K$2:$K$87,A72),Analysis!$K$2:$K$87,0))</f>
        <v>Rosuvastatin</v>
      </c>
      <c r="C72" s="12" t="n">
        <f aca="false">INDEX(Analysis!$H$2:$H$87,MATCH(B72,Analysis!$G$2:$G$87,0))</f>
        <v>14</v>
      </c>
      <c r="D72" s="12" t="n">
        <f aca="false">INDEX(Analysis!$I$2:$I$87,MATCH(B72,Analysis!$G$2:$G$87,0))</f>
        <v>1</v>
      </c>
      <c r="E72" s="16" t="n">
        <f aca="false">IFERROR(D72/C72,0)</f>
        <v>0.0714285714285714</v>
      </c>
      <c r="F72" s="12" t="str">
        <f aca="false">IF(AND(E72&gt;=0.4,C72&gt;=8),"High",IF(E72&gt;=0.25,"Medium","Low"))</f>
        <v>Low</v>
      </c>
    </row>
    <row r="73" customFormat="false" ht="15" hidden="false" customHeight="false" outlineLevel="0" collapsed="false">
      <c r="A73" s="12" t="n">
        <v>72</v>
      </c>
      <c r="B73" s="12" t="str">
        <f aca="false">INDEX(Analysis!$G$2:$G$87,MATCH(LARGE(Analysis!$K$2:$K$87,A73),Analysis!$K$2:$K$87,0))</f>
        <v>Levothyroxine</v>
      </c>
      <c r="C73" s="12" t="n">
        <f aca="false">INDEX(Analysis!$H$2:$H$87,MATCH(B73,Analysis!$G$2:$G$87,0))</f>
        <v>14</v>
      </c>
      <c r="D73" s="12" t="n">
        <f aca="false">INDEX(Analysis!$I$2:$I$87,MATCH(B73,Analysis!$G$2:$G$87,0))</f>
        <v>1</v>
      </c>
      <c r="E73" s="16" t="n">
        <f aca="false">IFERROR(D73/C73,0)</f>
        <v>0.0714285714285714</v>
      </c>
      <c r="F73" s="12" t="str">
        <f aca="false">IF(AND(E73&gt;=0.4,C73&gt;=8),"High",IF(E73&gt;=0.25,"Medium","Low"))</f>
        <v>Low</v>
      </c>
    </row>
    <row r="74" customFormat="false" ht="15" hidden="false" customHeight="false" outlineLevel="0" collapsed="false">
      <c r="A74" s="12" t="n">
        <v>73</v>
      </c>
      <c r="B74" s="12" t="str">
        <f aca="false">INDEX(Analysis!$G$2:$G$87,MATCH(LARGE(Analysis!$K$2:$K$87,A74),Analysis!$K$2:$K$87,0))</f>
        <v>Metronidazole</v>
      </c>
      <c r="C74" s="12" t="n">
        <f aca="false">INDEX(Analysis!$H$2:$H$87,MATCH(B74,Analysis!$G$2:$G$87,0))</f>
        <v>13</v>
      </c>
      <c r="D74" s="12" t="n">
        <f aca="false">INDEX(Analysis!$I$2:$I$87,MATCH(B74,Analysis!$G$2:$G$87,0))</f>
        <v>1</v>
      </c>
      <c r="E74" s="16" t="n">
        <f aca="false">IFERROR(D74/C74,0)</f>
        <v>0.0769230769230769</v>
      </c>
      <c r="F74" s="12" t="str">
        <f aca="false">IF(AND(E74&gt;=0.4,C74&gt;=8),"High",IF(E74&gt;=0.25,"Medium","Low"))</f>
        <v>Low</v>
      </c>
    </row>
    <row r="75" customFormat="false" ht="15" hidden="false" customHeight="false" outlineLevel="0" collapsed="false">
      <c r="A75" s="12" t="n">
        <v>74</v>
      </c>
      <c r="B75" s="12" t="str">
        <f aca="false">INDEX(Analysis!$G$2:$G$87,MATCH(LARGE(Analysis!$K$2:$K$87,A75),Analysis!$K$2:$K$87,0))</f>
        <v>Amitriptyline</v>
      </c>
      <c r="C75" s="12" t="n">
        <f aca="false">INDEX(Analysis!$H$2:$H$87,MATCH(B75,Analysis!$G$2:$G$87,0))</f>
        <v>12</v>
      </c>
      <c r="D75" s="12" t="n">
        <f aca="false">INDEX(Analysis!$I$2:$I$87,MATCH(B75,Analysis!$G$2:$G$87,0))</f>
        <v>1</v>
      </c>
      <c r="E75" s="16" t="n">
        <f aca="false">IFERROR(D75/C75,0)</f>
        <v>0.0833333333333333</v>
      </c>
      <c r="F75" s="12" t="str">
        <f aca="false">IF(AND(E75&gt;=0.4,C75&gt;=8),"High",IF(E75&gt;=0.25,"Medium","Low"))</f>
        <v>Low</v>
      </c>
    </row>
    <row r="76" customFormat="false" ht="15" hidden="false" customHeight="false" outlineLevel="0" collapsed="false">
      <c r="A76" s="12" t="n">
        <v>75</v>
      </c>
      <c r="B76" s="12" t="str">
        <f aca="false">INDEX(Analysis!$G$2:$G$87,MATCH(LARGE(Analysis!$K$2:$K$87,A76),Analysis!$K$2:$K$87,0))</f>
        <v>Salbutamol</v>
      </c>
      <c r="C76" s="12" t="n">
        <f aca="false">INDEX(Analysis!$H$2:$H$87,MATCH(B76,Analysis!$G$2:$G$87,0))</f>
        <v>11</v>
      </c>
      <c r="D76" s="12" t="n">
        <f aca="false">INDEX(Analysis!$I$2:$I$87,MATCH(B76,Analysis!$G$2:$G$87,0))</f>
        <v>1</v>
      </c>
      <c r="E76" s="16" t="n">
        <f aca="false">IFERROR(D76/C76,0)</f>
        <v>0.0909090909090909</v>
      </c>
      <c r="F76" s="12" t="str">
        <f aca="false">IF(AND(E76&gt;=0.4,C76&gt;=8),"High",IF(E76&gt;=0.25,"Medium","Low"))</f>
        <v>Low</v>
      </c>
    </row>
    <row r="77" customFormat="false" ht="15" hidden="false" customHeight="false" outlineLevel="0" collapsed="false">
      <c r="A77" s="12" t="n">
        <v>76</v>
      </c>
      <c r="B77" s="12" t="str">
        <f aca="false">INDEX(Analysis!$G$2:$G$87,MATCH(LARGE(Analysis!$K$2:$K$87,A77),Analysis!$K$2:$K$87,0))</f>
        <v>Olanzapine</v>
      </c>
      <c r="C77" s="12" t="n">
        <f aca="false">INDEX(Analysis!$H$2:$H$87,MATCH(B77,Analysis!$G$2:$G$87,0))</f>
        <v>11</v>
      </c>
      <c r="D77" s="12" t="n">
        <f aca="false">INDEX(Analysis!$I$2:$I$87,MATCH(B77,Analysis!$G$2:$G$87,0))</f>
        <v>1</v>
      </c>
      <c r="E77" s="16" t="n">
        <f aca="false">IFERROR(D77/C77,0)</f>
        <v>0.0909090909090909</v>
      </c>
      <c r="F77" s="12" t="str">
        <f aca="false">IF(AND(E77&gt;=0.4,C77&gt;=8),"High",IF(E77&gt;=0.25,"Medium","Low"))</f>
        <v>Low</v>
      </c>
    </row>
    <row r="78" customFormat="false" ht="15" hidden="false" customHeight="false" outlineLevel="0" collapsed="false">
      <c r="A78" s="12" t="n">
        <v>77</v>
      </c>
      <c r="B78" s="12" t="str">
        <f aca="false">INDEX(Analysis!$G$2:$G$87,MATCH(LARGE(Analysis!$K$2:$K$87,A78),Analysis!$K$2:$K$87,0))</f>
        <v>Hydrochlorothiazide</v>
      </c>
      <c r="C78" s="12" t="n">
        <f aca="false">INDEX(Analysis!$H$2:$H$87,MATCH(B78,Analysis!$G$2:$G$87,0))</f>
        <v>11</v>
      </c>
      <c r="D78" s="12" t="n">
        <f aca="false">INDEX(Analysis!$I$2:$I$87,MATCH(B78,Analysis!$G$2:$G$87,0))</f>
        <v>1</v>
      </c>
      <c r="E78" s="16" t="n">
        <f aca="false">IFERROR(D78/C78,0)</f>
        <v>0.0909090909090909</v>
      </c>
      <c r="F78" s="12" t="str">
        <f aca="false">IF(AND(E78&gt;=0.4,C78&gt;=8),"High",IF(E78&gt;=0.25,"Medium","Low"))</f>
        <v>Low</v>
      </c>
    </row>
    <row r="79" customFormat="false" ht="15" hidden="false" customHeight="false" outlineLevel="0" collapsed="false">
      <c r="A79" s="12" t="n">
        <v>78</v>
      </c>
      <c r="B79" s="12" t="str">
        <f aca="false">INDEX(Analysis!$G$2:$G$87,MATCH(LARGE(Analysis!$K$2:$K$87,A79),Analysis!$K$2:$K$87,0))</f>
        <v>Fluconazole</v>
      </c>
      <c r="C79" s="12" t="n">
        <f aca="false">INDEX(Analysis!$H$2:$H$87,MATCH(B79,Analysis!$G$2:$G$87,0))</f>
        <v>11</v>
      </c>
      <c r="D79" s="12" t="n">
        <f aca="false">INDEX(Analysis!$I$2:$I$87,MATCH(B79,Analysis!$G$2:$G$87,0))</f>
        <v>1</v>
      </c>
      <c r="E79" s="16" t="n">
        <f aca="false">IFERROR(D79/C79,0)</f>
        <v>0.0909090909090909</v>
      </c>
      <c r="F79" s="12" t="str">
        <f aca="false">IF(AND(E79&gt;=0.4,C79&gt;=8),"High",IF(E79&gt;=0.25,"Medium","Low"))</f>
        <v>Low</v>
      </c>
    </row>
    <row r="80" customFormat="false" ht="15" hidden="false" customHeight="false" outlineLevel="0" collapsed="false">
      <c r="A80" s="12" t="n">
        <v>79</v>
      </c>
      <c r="B80" s="12" t="str">
        <f aca="false">INDEX(Analysis!$G$2:$G$87,MATCH(LARGE(Analysis!$K$2:$K$87,A80),Analysis!$K$2:$K$87,0))</f>
        <v>Risperidone</v>
      </c>
      <c r="C80" s="12" t="n">
        <f aca="false">INDEX(Analysis!$H$2:$H$87,MATCH(B80,Analysis!$G$2:$G$87,0))</f>
        <v>8</v>
      </c>
      <c r="D80" s="12" t="n">
        <f aca="false">INDEX(Analysis!$I$2:$I$87,MATCH(B80,Analysis!$G$2:$G$87,0))</f>
        <v>1</v>
      </c>
      <c r="E80" s="16" t="n">
        <f aca="false">IFERROR(D80/C80,0)</f>
        <v>0.125</v>
      </c>
      <c r="F80" s="12" t="str">
        <f aca="false">IF(AND(E80&gt;=0.4,C80&gt;=8),"High",IF(E80&gt;=0.25,"Medium","Low"))</f>
        <v>Low</v>
      </c>
    </row>
    <row r="81" customFormat="false" ht="15" hidden="false" customHeight="false" outlineLevel="0" collapsed="false">
      <c r="A81" s="12" t="n">
        <v>80</v>
      </c>
      <c r="B81" s="12" t="str">
        <f aca="false">INDEX(Analysis!$G$2:$G$87,MATCH(LARGE(Analysis!$K$2:$K$87,A81),Analysis!$K$2:$K$87,0))</f>
        <v>Tamoxifen</v>
      </c>
      <c r="C81" s="12" t="n">
        <f aca="false">INDEX(Analysis!$H$2:$H$87,MATCH(B81,Analysis!$G$2:$G$87,0))</f>
        <v>4</v>
      </c>
      <c r="D81" s="12" t="n">
        <f aca="false">INDEX(Analysis!$I$2:$I$87,MATCH(B81,Analysis!$G$2:$G$87,0))</f>
        <v>1</v>
      </c>
      <c r="E81" s="16" t="n">
        <f aca="false">IFERROR(D81/C81,0)</f>
        <v>0.25</v>
      </c>
      <c r="F81" s="12" t="str">
        <f aca="false">IF(AND(E81&gt;=0.4,C81&gt;=8),"High",IF(E81&gt;=0.25,"Medium","Low"))</f>
        <v>Medium</v>
      </c>
    </row>
    <row r="82" customFormat="false" ht="15" hidden="false" customHeight="false" outlineLevel="0" collapsed="false">
      <c r="A82" s="12" t="n">
        <v>81</v>
      </c>
      <c r="B82" s="12" t="str">
        <f aca="false">INDEX(Analysis!$G$2:$G$87,MATCH(LARGE(Analysis!$K$2:$K$87,A82),Analysis!$K$2:$K$87,0))</f>
        <v>Digoxin</v>
      </c>
      <c r="C82" s="12" t="n">
        <f aca="false">INDEX(Analysis!$H$2:$H$87,MATCH(B82,Analysis!$G$2:$G$87,0))</f>
        <v>3</v>
      </c>
      <c r="D82" s="12" t="n">
        <f aca="false">INDEX(Analysis!$I$2:$I$87,MATCH(B82,Analysis!$G$2:$G$87,0))</f>
        <v>1</v>
      </c>
      <c r="E82" s="16" t="n">
        <f aca="false">IFERROR(D82/C82,0)</f>
        <v>0.333333333333333</v>
      </c>
      <c r="F82" s="12" t="str">
        <f aca="false">IF(AND(E82&gt;=0.4,C82&gt;=8),"High",IF(E82&gt;=0.25,"Medium","Low"))</f>
        <v>Medium</v>
      </c>
    </row>
    <row r="83" customFormat="false" ht="15" hidden="false" customHeight="false" outlineLevel="0" collapsed="false">
      <c r="A83" s="12" t="n">
        <v>82</v>
      </c>
      <c r="B83" s="12" t="str">
        <f aca="false">INDEX(Analysis!$G$2:$G$87,MATCH(LARGE(Analysis!$K$2:$K$87,A83),Analysis!$K$2:$K$87,0))</f>
        <v>Gabapentin</v>
      </c>
      <c r="C83" s="12" t="n">
        <f aca="false">INDEX(Analysis!$H$2:$H$87,MATCH(B83,Analysis!$G$2:$G$87,0))</f>
        <v>17</v>
      </c>
      <c r="D83" s="12" t="n">
        <f aca="false">INDEX(Analysis!$I$2:$I$87,MATCH(B83,Analysis!$G$2:$G$87,0))</f>
        <v>0</v>
      </c>
      <c r="E83" s="16" t="n">
        <f aca="false">IFERROR(D83/C83,0)</f>
        <v>0</v>
      </c>
      <c r="F83" s="12" t="str">
        <f aca="false">IF(AND(E83&gt;=0.4,C83&gt;=8),"High",IF(E83&gt;=0.25,"Medium","Low"))</f>
        <v>Low</v>
      </c>
    </row>
    <row r="84" customFormat="false" ht="15" hidden="false" customHeight="false" outlineLevel="0" collapsed="false">
      <c r="A84" s="12" t="n">
        <v>83</v>
      </c>
      <c r="B84" s="12" t="str">
        <f aca="false">INDEX(Analysis!$G$2:$G$87,MATCH(LARGE(Analysis!$K$2:$K$87,A84),Analysis!$K$2:$K$87,0))</f>
        <v>Losartan</v>
      </c>
      <c r="C84" s="12" t="n">
        <f aca="false">INDEX(Analysis!$H$2:$H$87,MATCH(B84,Analysis!$G$2:$G$87,0))</f>
        <v>12</v>
      </c>
      <c r="D84" s="12" t="n">
        <f aca="false">INDEX(Analysis!$I$2:$I$87,MATCH(B84,Analysis!$G$2:$G$87,0))</f>
        <v>0</v>
      </c>
      <c r="E84" s="16" t="n">
        <f aca="false">IFERROR(D84/C84,0)</f>
        <v>0</v>
      </c>
      <c r="F84" s="12" t="str">
        <f aca="false">IF(AND(E84&gt;=0.4,C84&gt;=8),"High",IF(E84&gt;=0.25,"Medium","Low"))</f>
        <v>Low</v>
      </c>
    </row>
    <row r="85" customFormat="false" ht="15" hidden="false" customHeight="false" outlineLevel="0" collapsed="false">
      <c r="A85" s="12" t="n">
        <v>84</v>
      </c>
      <c r="B85" s="12" t="str">
        <f aca="false">INDEX(Analysis!$G$2:$G$87,MATCH(LARGE(Analysis!$K$2:$K$87,A85),Analysis!$K$2:$K$87,0))</f>
        <v>Ivermectin</v>
      </c>
      <c r="C85" s="12" t="n">
        <f aca="false">INDEX(Analysis!$H$2:$H$87,MATCH(B85,Analysis!$G$2:$G$87,0))</f>
        <v>6</v>
      </c>
      <c r="D85" s="12" t="n">
        <f aca="false">INDEX(Analysis!$I$2:$I$87,MATCH(B85,Analysis!$G$2:$G$87,0))</f>
        <v>0</v>
      </c>
      <c r="E85" s="16" t="n">
        <f aca="false">IFERROR(D85/C85,0)</f>
        <v>0</v>
      </c>
      <c r="F85" s="12" t="str">
        <f aca="false">IF(AND(E85&gt;=0.4,C85&gt;=8),"High",IF(E85&gt;=0.25,"Medium","Low"))</f>
        <v>Low</v>
      </c>
    </row>
    <row r="86" customFormat="false" ht="15" hidden="false" customHeight="false" outlineLevel="0" collapsed="false">
      <c r="A86" s="12" t="n">
        <v>85</v>
      </c>
      <c r="B86" s="12" t="str">
        <f aca="false">INDEX(Analysis!$G$2:$G$87,MATCH(LARGE(Analysis!$K$2:$K$87,A86),Analysis!$K$2:$K$87,0))</f>
        <v>Montelukast</v>
      </c>
      <c r="C86" s="12" t="n">
        <f aca="false">INDEX(Analysis!$H$2:$H$87,MATCH(B86,Analysis!$G$2:$G$87,0))</f>
        <v>5</v>
      </c>
      <c r="D86" s="12" t="n">
        <f aca="false">INDEX(Analysis!$I$2:$I$87,MATCH(B86,Analysis!$G$2:$G$87,0))</f>
        <v>0</v>
      </c>
      <c r="E86" s="16" t="n">
        <f aca="false">IFERROR(D86/C86,0)</f>
        <v>0</v>
      </c>
      <c r="F86" s="12" t="str">
        <f aca="false">IF(AND(E86&gt;=0.4,C86&gt;=8),"High",IF(E86&gt;=0.25,"Medium","Low"))</f>
        <v>Low</v>
      </c>
    </row>
    <row r="87" customFormat="false" ht="15" hidden="false" customHeight="false" outlineLevel="0" collapsed="false">
      <c r="A87" s="12" t="n">
        <v>86</v>
      </c>
      <c r="B87" s="12" t="str">
        <f aca="false">INDEX(Analysis!$G$2:$G$87,MATCH(LARGE(Analysis!$K$2:$K$87,A87),Analysis!$K$2:$K$87,0))</f>
        <v>Lithium</v>
      </c>
      <c r="C87" s="12" t="n">
        <f aca="false">INDEX(Analysis!$H$2:$H$87,MATCH(B87,Analysis!$G$2:$G$87,0))</f>
        <v>3</v>
      </c>
      <c r="D87" s="12" t="n">
        <f aca="false">INDEX(Analysis!$I$2:$I$87,MATCH(B87,Analysis!$G$2:$G$87,0))</f>
        <v>0</v>
      </c>
      <c r="E87" s="16" t="n">
        <f aca="false">IFERROR(D87/C87,0)</f>
        <v>0</v>
      </c>
      <c r="F87" s="12" t="str">
        <f aca="false">IF(AND(E87&gt;=0.4,C87&gt;=8),"High",IF(E87&gt;=0.25,"Medium","Low"))</f>
        <v>Low</v>
      </c>
    </row>
  </sheetData>
  <conditionalFormatting sqref="F2:F87">
    <cfRule type="cellIs" priority="2" operator="equal" aboveAverage="0" equalAverage="0" bottom="0" percent="0" rank="0" text="" dxfId="3">
      <formula>"High"</formula>
    </cfRule>
    <cfRule type="cellIs" priority="3" operator="equal" aboveAverage="0" equalAverage="0" bottom="0" percent="0" rank="0" text="" dxfId="4">
      <formula>"Medium"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  <col collapsed="false" customWidth="true" hidden="false" outlineLevel="0" max="4" min="3" style="0" width="9"/>
    <col collapsed="false" customWidth="true" hidden="false" outlineLevel="0" max="6" min="5" style="0" width="10"/>
    <col collapsed="false" customWidth="true" hidden="false" outlineLevel="0" max="7" min="7" style="0" width="3"/>
    <col collapsed="false" customWidth="true" hidden="false" outlineLevel="0" max="8" min="8" style="0" width="7"/>
    <col collapsed="false" customWidth="true" hidden="false" outlineLevel="0" max="9" min="9" style="0" width="44"/>
    <col collapsed="false" customWidth="true" hidden="false" outlineLevel="0" max="11" min="10" style="0" width="9"/>
  </cols>
  <sheetData>
    <row r="1" customFormat="false" ht="15" hidden="false" customHeight="false" outlineLevel="0" collapsed="false">
      <c r="A1" s="19" t="s">
        <v>23</v>
      </c>
      <c r="B1" s="19" t="s">
        <v>24</v>
      </c>
      <c r="C1" s="19" t="s">
        <v>1491</v>
      </c>
      <c r="D1" s="19" t="s">
        <v>30</v>
      </c>
      <c r="E1" s="19" t="s">
        <v>1493</v>
      </c>
      <c r="F1" s="19" t="s">
        <v>1494</v>
      </c>
      <c r="G1" s="12"/>
      <c r="H1" s="20" t="s">
        <v>1495</v>
      </c>
      <c r="I1" s="20" t="s">
        <v>1508</v>
      </c>
      <c r="J1" s="20" t="s">
        <v>1491</v>
      </c>
      <c r="K1" s="20" t="s">
        <v>30</v>
      </c>
    </row>
    <row r="2" customFormat="false" ht="15" hidden="false" customHeight="false" outlineLevel="0" collapsed="false">
      <c r="A2" s="12" t="s">
        <v>44</v>
      </c>
      <c r="B2" s="12" t="s">
        <v>435</v>
      </c>
      <c r="C2" s="12" t="n">
        <f aca="false">COUNTIFS(Data!$E$2:$E$1249,A2,Data!$F$2:$F$1249,B2)</f>
        <v>3</v>
      </c>
      <c r="D2" s="12" t="n">
        <f aca="false">COUNTIFS(Data!$E$2:$E$1249,A2,Data!$F$2:$F$1249,B2,Data!$L$2:$L$1249,"Yes")</f>
        <v>2</v>
      </c>
      <c r="E2" s="16" t="n">
        <f aca="false">IFERROR(D2/C2,0)</f>
        <v>0.666666666666667</v>
      </c>
      <c r="F2" s="17" t="n">
        <f aca="false">D2+C2/1000+ROW()/10000000</f>
        <v>2.0030002</v>
      </c>
      <c r="G2" s="12"/>
      <c r="H2" s="12" t="n">
        <v>1</v>
      </c>
      <c r="I2" s="12" t="str">
        <f aca="false">INDEX($A$2:$A$198,MATCH(LARGE($F$2:$F$198,H2),$F$2:$F$198,0))&amp;" - "&amp;INDEX($B$2:$B$198,MATCH(LARGE($F$2:$F$198,H2),$F$2:$F$198,0))</f>
        <v>Ibuprofen - GI bleeding</v>
      </c>
      <c r="J2" s="12" t="n">
        <f aca="false">INDEX($C$2:$C$198,MATCH(LARGE($F$2:$F$198,H2),$F$2:$F$198,0))</f>
        <v>17</v>
      </c>
      <c r="K2" s="12" t="n">
        <f aca="false">INDEX($D$2:$D$198,MATCH(LARGE($F$2:$F$198,H2),$F$2:$F$198,0))</f>
        <v>14</v>
      </c>
    </row>
    <row r="3" customFormat="false" ht="15" hidden="false" customHeight="false" outlineLevel="0" collapsed="false">
      <c r="A3" s="12" t="s">
        <v>44</v>
      </c>
      <c r="B3" s="12" t="s">
        <v>45</v>
      </c>
      <c r="C3" s="12" t="n">
        <f aca="false">COUNTIFS(Data!$E$2:$E$1249,A3,Data!$F$2:$F$1249,B3)</f>
        <v>8</v>
      </c>
      <c r="D3" s="12" t="n">
        <f aca="false">COUNTIFS(Data!$E$2:$E$1249,A3,Data!$F$2:$F$1249,B3,Data!$L$2:$L$1249,"Yes")</f>
        <v>1</v>
      </c>
      <c r="E3" s="16" t="n">
        <f aca="false">IFERROR(D3/C3,0)</f>
        <v>0.125</v>
      </c>
      <c r="F3" s="17" t="n">
        <f aca="false">D3+C3/1000+ROW()/10000000</f>
        <v>1.0080003</v>
      </c>
      <c r="G3" s="12"/>
      <c r="H3" s="12" t="n">
        <v>2</v>
      </c>
      <c r="I3" s="12" t="str">
        <f aca="false">INDEX($A$2:$A$198,MATCH(LARGE($F$2:$F$198,H3),$F$2:$F$198,0))&amp;" - "&amp;INDEX($B$2:$B$198,MATCH(LARGE($F$2:$F$198,H3),$F$2:$F$198,0))</f>
        <v>Metformin - Lactic acidosis</v>
      </c>
      <c r="J3" s="12" t="n">
        <f aca="false">INDEX($C$2:$C$198,MATCH(LARGE($F$2:$F$198,H3),$F$2:$F$198,0))</f>
        <v>15</v>
      </c>
      <c r="K3" s="12" t="n">
        <f aca="false">INDEX($D$2:$D$198,MATCH(LARGE($F$2:$F$198,H3),$F$2:$F$198,0))</f>
        <v>10</v>
      </c>
    </row>
    <row r="4" customFormat="false" ht="15" hidden="false" customHeight="false" outlineLevel="0" collapsed="false">
      <c r="A4" s="12" t="s">
        <v>266</v>
      </c>
      <c r="B4" s="12" t="s">
        <v>103</v>
      </c>
      <c r="C4" s="12" t="n">
        <f aca="false">COUNTIFS(Data!$E$2:$E$1249,A4,Data!$F$2:$F$1249,B4)</f>
        <v>5</v>
      </c>
      <c r="D4" s="12" t="n">
        <f aca="false">COUNTIFS(Data!$E$2:$E$1249,A4,Data!$F$2:$F$1249,B4,Data!$L$2:$L$1249,"Yes")</f>
        <v>2</v>
      </c>
      <c r="E4" s="16" t="n">
        <f aca="false">IFERROR(D4/C4,0)</f>
        <v>0.4</v>
      </c>
      <c r="F4" s="17" t="n">
        <f aca="false">D4+C4/1000+ROW()/10000000</f>
        <v>2.0050004</v>
      </c>
      <c r="G4" s="12"/>
      <c r="H4" s="12" t="n">
        <v>3</v>
      </c>
      <c r="I4" s="12" t="str">
        <f aca="false">INDEX($A$2:$A$198,MATCH(LARGE($F$2:$F$198,H4),$F$2:$F$198,0))&amp;" - "&amp;INDEX($B$2:$B$198,MATCH(LARGE($F$2:$F$198,H4),$F$2:$F$198,0))</f>
        <v>Paracetamol - Hepatotoxicity</v>
      </c>
      <c r="J4" s="12" t="n">
        <f aca="false">INDEX($C$2:$C$198,MATCH(LARGE($F$2:$F$198,H4),$F$2:$F$198,0))</f>
        <v>11</v>
      </c>
      <c r="K4" s="12" t="n">
        <f aca="false">INDEX($D$2:$D$198,MATCH(LARGE($F$2:$F$198,H4),$F$2:$F$198,0))</f>
        <v>10</v>
      </c>
    </row>
    <row r="5" customFormat="false" ht="15" hidden="false" customHeight="false" outlineLevel="0" collapsed="false">
      <c r="A5" s="12" t="s">
        <v>266</v>
      </c>
      <c r="B5" s="12" t="s">
        <v>214</v>
      </c>
      <c r="C5" s="12" t="n">
        <f aca="false">COUNTIFS(Data!$E$2:$E$1249,A5,Data!$F$2:$F$1249,B5)</f>
        <v>10</v>
      </c>
      <c r="D5" s="12" t="n">
        <f aca="false">COUNTIFS(Data!$E$2:$E$1249,A5,Data!$F$2:$F$1249,B5,Data!$L$2:$L$1249,"Yes")</f>
        <v>3</v>
      </c>
      <c r="E5" s="16" t="n">
        <f aca="false">IFERROR(D5/C5,0)</f>
        <v>0.3</v>
      </c>
      <c r="F5" s="17" t="n">
        <f aca="false">D5+C5/1000+ROW()/10000000</f>
        <v>3.0100005</v>
      </c>
      <c r="G5" s="12"/>
      <c r="H5" s="12" t="n">
        <v>4</v>
      </c>
      <c r="I5" s="12" t="str">
        <f aca="false">INDEX($A$2:$A$198,MATCH(LARGE($F$2:$F$198,H5),$F$2:$F$198,0))&amp;" - "&amp;INDEX($B$2:$B$198,MATCH(LARGE($F$2:$F$198,H5),$F$2:$F$198,0))</f>
        <v>Amoxicillin - Anaphylaxis</v>
      </c>
      <c r="J5" s="12" t="n">
        <f aca="false">INDEX($C$2:$C$198,MATCH(LARGE($F$2:$F$198,H5),$F$2:$F$198,0))</f>
        <v>11</v>
      </c>
      <c r="K5" s="12" t="n">
        <f aca="false">INDEX($D$2:$D$198,MATCH(LARGE($F$2:$F$198,H5),$F$2:$F$198,0))</f>
        <v>10</v>
      </c>
    </row>
    <row r="6" customFormat="false" ht="15" hidden="false" customHeight="false" outlineLevel="0" collapsed="false">
      <c r="A6" s="12" t="s">
        <v>266</v>
      </c>
      <c r="B6" s="12" t="s">
        <v>114</v>
      </c>
      <c r="C6" s="12" t="n">
        <f aca="false">COUNTIFS(Data!$E$2:$E$1249,A6,Data!$F$2:$F$1249,B6)</f>
        <v>9</v>
      </c>
      <c r="D6" s="12" t="n">
        <f aca="false">COUNTIFS(Data!$E$2:$E$1249,A6,Data!$F$2:$F$1249,B6,Data!$L$2:$L$1249,"Yes")</f>
        <v>5</v>
      </c>
      <c r="E6" s="16" t="n">
        <f aca="false">IFERROR(D6/C6,0)</f>
        <v>0.555555555555556</v>
      </c>
      <c r="F6" s="17" t="n">
        <f aca="false">D6+C6/1000+ROW()/10000000</f>
        <v>5.0090006</v>
      </c>
      <c r="G6" s="12"/>
      <c r="H6" s="12" t="n">
        <v>5</v>
      </c>
      <c r="I6" s="12" t="str">
        <f aca="false">INDEX($A$2:$A$198,MATCH(LARGE($F$2:$F$198,H6),$F$2:$F$198,0))&amp;" - "&amp;INDEX($B$2:$B$198,MATCH(LARGE($F$2:$F$198,H6),$F$2:$F$198,0))</f>
        <v>Diclofenac - GI bleeding</v>
      </c>
      <c r="J6" s="12" t="n">
        <f aca="false">INDEX($C$2:$C$198,MATCH(LARGE($F$2:$F$198,H6),$F$2:$F$198,0))</f>
        <v>11</v>
      </c>
      <c r="K6" s="12" t="n">
        <f aca="false">INDEX($D$2:$D$198,MATCH(LARGE($F$2:$F$198,H6),$F$2:$F$198,0))</f>
        <v>9</v>
      </c>
    </row>
    <row r="7" customFormat="false" ht="15" hidden="false" customHeight="false" outlineLevel="0" collapsed="false">
      <c r="A7" s="12" t="s">
        <v>175</v>
      </c>
      <c r="B7" s="12" t="s">
        <v>176</v>
      </c>
      <c r="C7" s="12" t="n">
        <f aca="false">COUNTIFS(Data!$E$2:$E$1249,A7,Data!$F$2:$F$1249,B7)</f>
        <v>8</v>
      </c>
      <c r="D7" s="12" t="n">
        <f aca="false">COUNTIFS(Data!$E$2:$E$1249,A7,Data!$F$2:$F$1249,B7,Data!$L$2:$L$1249,"Yes")</f>
        <v>3</v>
      </c>
      <c r="E7" s="16" t="n">
        <f aca="false">IFERROR(D7/C7,0)</f>
        <v>0.375</v>
      </c>
      <c r="F7" s="17" t="n">
        <f aca="false">D7+C7/1000+ROW()/10000000</f>
        <v>3.0080007</v>
      </c>
      <c r="G7" s="12"/>
      <c r="H7" s="12" t="n">
        <v>6</v>
      </c>
      <c r="I7" s="12" t="str">
        <f aca="false">INDEX($A$2:$A$198,MATCH(LARGE($F$2:$F$198,H7),$F$2:$F$198,0))&amp;" - "&amp;INDEX($B$2:$B$198,MATCH(LARGE($F$2:$F$198,H7),$F$2:$F$198,0))</f>
        <v>Isoniazid - Hepatitis</v>
      </c>
      <c r="J7" s="12" t="n">
        <f aca="false">INDEX($C$2:$C$198,MATCH(LARGE($F$2:$F$198,H7),$F$2:$F$198,0))</f>
        <v>10</v>
      </c>
      <c r="K7" s="12" t="n">
        <f aca="false">INDEX($D$2:$D$198,MATCH(LARGE($F$2:$F$198,H7),$F$2:$F$198,0))</f>
        <v>9</v>
      </c>
    </row>
    <row r="8" customFormat="false" ht="15" hidden="false" customHeight="false" outlineLevel="0" collapsed="false">
      <c r="A8" s="12" t="s">
        <v>175</v>
      </c>
      <c r="B8" s="12" t="s">
        <v>371</v>
      </c>
      <c r="C8" s="12" t="n">
        <f aca="false">COUNTIFS(Data!$E$2:$E$1249,A8,Data!$F$2:$F$1249,B8)</f>
        <v>8</v>
      </c>
      <c r="D8" s="12" t="n">
        <f aca="false">COUNTIFS(Data!$E$2:$E$1249,A8,Data!$F$2:$F$1249,B8,Data!$L$2:$L$1249,"Yes")</f>
        <v>7</v>
      </c>
      <c r="E8" s="16" t="n">
        <f aca="false">IFERROR(D8/C8,0)</f>
        <v>0.875</v>
      </c>
      <c r="F8" s="17" t="n">
        <f aca="false">D8+C8/1000+ROW()/10000000</f>
        <v>7.0080008</v>
      </c>
      <c r="G8" s="12"/>
      <c r="H8" s="12" t="n">
        <v>7</v>
      </c>
      <c r="I8" s="12" t="str">
        <f aca="false">INDEX($A$2:$A$198,MATCH(LARGE($F$2:$F$198,H8),$F$2:$F$198,0))&amp;" - "&amp;INDEX($B$2:$B$198,MATCH(LARGE($F$2:$F$198,H8),$F$2:$F$198,0))</f>
        <v>Warfarin - Haemorrhage</v>
      </c>
      <c r="J8" s="12" t="n">
        <f aca="false">INDEX($C$2:$C$198,MATCH(LARGE($F$2:$F$198,H8),$F$2:$F$198,0))</f>
        <v>12</v>
      </c>
      <c r="K8" s="12" t="n">
        <f aca="false">INDEX($D$2:$D$198,MATCH(LARGE($F$2:$F$198,H8),$F$2:$F$198,0))</f>
        <v>8</v>
      </c>
    </row>
    <row r="9" customFormat="false" ht="15" hidden="false" customHeight="false" outlineLevel="0" collapsed="false">
      <c r="A9" s="12" t="s">
        <v>141</v>
      </c>
      <c r="B9" s="12" t="s">
        <v>62</v>
      </c>
      <c r="C9" s="12" t="n">
        <f aca="false">COUNTIFS(Data!$E$2:$E$1249,A9,Data!$F$2:$F$1249,B9)</f>
        <v>4</v>
      </c>
      <c r="D9" s="12" t="n">
        <f aca="false">COUNTIFS(Data!$E$2:$E$1249,A9,Data!$F$2:$F$1249,B9,Data!$L$2:$L$1249,"Yes")</f>
        <v>0</v>
      </c>
      <c r="E9" s="16" t="n">
        <f aca="false">IFERROR(D9/C9,0)</f>
        <v>0</v>
      </c>
      <c r="F9" s="17" t="n">
        <f aca="false">D9+C9/1000+ROW()/10000000</f>
        <v>0.0040009</v>
      </c>
      <c r="G9" s="12"/>
      <c r="H9" s="12" t="n">
        <v>8</v>
      </c>
      <c r="I9" s="12" t="str">
        <f aca="false">INDEX($A$2:$A$198,MATCH(LARGE($F$2:$F$198,H9),$F$2:$F$198,0))&amp;" - "&amp;INDEX($B$2:$B$198,MATCH(LARGE($F$2:$F$198,H9),$F$2:$F$198,0))</f>
        <v>Ciprofloxacin - QT prolongation</v>
      </c>
      <c r="J9" s="12" t="n">
        <f aca="false">INDEX($C$2:$C$198,MATCH(LARGE($F$2:$F$198,H9),$F$2:$F$198,0))</f>
        <v>9</v>
      </c>
      <c r="K9" s="12" t="n">
        <f aca="false">INDEX($D$2:$D$198,MATCH(LARGE($F$2:$F$198,H9),$F$2:$F$198,0))</f>
        <v>7</v>
      </c>
    </row>
    <row r="10" customFormat="false" ht="15" hidden="false" customHeight="false" outlineLevel="0" collapsed="false">
      <c r="A10" s="12" t="s">
        <v>141</v>
      </c>
      <c r="B10" s="12" t="s">
        <v>142</v>
      </c>
      <c r="C10" s="12" t="n">
        <f aca="false">COUNTIFS(Data!$E$2:$E$1249,A10,Data!$F$2:$F$1249,B10)</f>
        <v>5</v>
      </c>
      <c r="D10" s="12" t="n">
        <f aca="false">COUNTIFS(Data!$E$2:$E$1249,A10,Data!$F$2:$F$1249,B10,Data!$L$2:$L$1249,"Yes")</f>
        <v>0</v>
      </c>
      <c r="E10" s="16" t="n">
        <f aca="false">IFERROR(D10/C10,0)</f>
        <v>0</v>
      </c>
      <c r="F10" s="17" t="n">
        <f aca="false">D10+C10/1000+ROW()/10000000</f>
        <v>0.005001</v>
      </c>
      <c r="G10" s="12"/>
      <c r="H10" s="12" t="n">
        <v>9</v>
      </c>
      <c r="I10" s="12" t="str">
        <f aca="false">INDEX($A$2:$A$198,MATCH(LARGE($F$2:$F$198,H10),$F$2:$F$198,0))&amp;" - "&amp;INDEX($B$2:$B$198,MATCH(LARGE($F$2:$F$198,H10),$F$2:$F$198,0))</f>
        <v>Carbamazepine - SJS/TEN</v>
      </c>
      <c r="J10" s="12" t="n">
        <f aca="false">INDEX($C$2:$C$198,MATCH(LARGE($F$2:$F$198,H10),$F$2:$F$198,0))</f>
        <v>9</v>
      </c>
      <c r="K10" s="12" t="n">
        <f aca="false">INDEX($D$2:$D$198,MATCH(LARGE($F$2:$F$198,H10),$F$2:$F$198,0))</f>
        <v>7</v>
      </c>
    </row>
    <row r="11" customFormat="false" ht="15" hidden="false" customHeight="false" outlineLevel="0" collapsed="false">
      <c r="A11" s="12" t="s">
        <v>141</v>
      </c>
      <c r="B11" s="12" t="s">
        <v>305</v>
      </c>
      <c r="C11" s="12" t="n">
        <f aca="false">COUNTIFS(Data!$E$2:$E$1249,A11,Data!$F$2:$F$1249,B11)</f>
        <v>3</v>
      </c>
      <c r="D11" s="12" t="n">
        <f aca="false">COUNTIFS(Data!$E$2:$E$1249,A11,Data!$F$2:$F$1249,B11,Data!$L$2:$L$1249,"Yes")</f>
        <v>1</v>
      </c>
      <c r="E11" s="16" t="n">
        <f aca="false">IFERROR(D11/C11,0)</f>
        <v>0.333333333333333</v>
      </c>
      <c r="F11" s="17" t="n">
        <f aca="false">D11+C11/1000+ROW()/10000000</f>
        <v>1.0030011</v>
      </c>
      <c r="G11" s="12"/>
      <c r="H11" s="12" t="n">
        <v>10</v>
      </c>
      <c r="I11" s="12" t="str">
        <f aca="false">INDEX($A$2:$A$198,MATCH(LARGE($F$2:$F$198,H11),$F$2:$F$198,0))&amp;" - "&amp;INDEX($B$2:$B$198,MATCH(LARGE($F$2:$F$198,H11),$F$2:$F$198,0))</f>
        <v>Amiodarone - Pulmonary fibrosis</v>
      </c>
      <c r="J11" s="12" t="n">
        <f aca="false">INDEX($C$2:$C$198,MATCH(LARGE($F$2:$F$198,H11),$F$2:$F$198,0))</f>
        <v>8</v>
      </c>
      <c r="K11" s="12" t="n">
        <f aca="false">INDEX($D$2:$D$198,MATCH(LARGE($F$2:$F$198,H11),$F$2:$F$198,0))</f>
        <v>7</v>
      </c>
    </row>
    <row r="12" customFormat="false" ht="15" hidden="false" customHeight="false" outlineLevel="0" collapsed="false">
      <c r="A12" s="12" t="s">
        <v>307</v>
      </c>
      <c r="B12" s="12" t="s">
        <v>62</v>
      </c>
      <c r="C12" s="12" t="n">
        <f aca="false">COUNTIFS(Data!$E$2:$E$1249,A12,Data!$F$2:$F$1249,B12)</f>
        <v>15</v>
      </c>
      <c r="D12" s="12" t="n">
        <f aca="false">COUNTIFS(Data!$E$2:$E$1249,A12,Data!$F$2:$F$1249,B12,Data!$L$2:$L$1249,"Yes")</f>
        <v>1</v>
      </c>
      <c r="E12" s="16" t="n">
        <f aca="false">IFERROR(D12/C12,0)</f>
        <v>0.0666666666666667</v>
      </c>
      <c r="F12" s="17" t="n">
        <f aca="false">D12+C12/1000+ROW()/10000000</f>
        <v>1.0150012</v>
      </c>
      <c r="G12" s="12"/>
      <c r="H12" s="12" t="n">
        <v>11</v>
      </c>
      <c r="I12" s="12" t="str">
        <f aca="false">INDEX($A$2:$A$198,MATCH(LARGE($F$2:$F$198,H12),$F$2:$F$198,0))&amp;" - "&amp;INDEX($B$2:$B$198,MATCH(LARGE($F$2:$F$198,H12),$F$2:$F$198,0))</f>
        <v>Methotrexate - Neutropenia</v>
      </c>
      <c r="J12" s="12" t="n">
        <f aca="false">INDEX($C$2:$C$198,MATCH(LARGE($F$2:$F$198,H12),$F$2:$F$198,0))</f>
        <v>7</v>
      </c>
      <c r="K12" s="12" t="n">
        <f aca="false">INDEX($D$2:$D$198,MATCH(LARGE($F$2:$F$198,H12),$F$2:$F$198,0))</f>
        <v>7</v>
      </c>
    </row>
    <row r="13" customFormat="false" ht="15" hidden="false" customHeight="false" outlineLevel="0" collapsed="false">
      <c r="A13" s="12" t="s">
        <v>307</v>
      </c>
      <c r="B13" s="12" t="s">
        <v>249</v>
      </c>
      <c r="C13" s="12" t="n">
        <f aca="false">COUNTIFS(Data!$E$2:$E$1249,A13,Data!$F$2:$F$1249,B13)</f>
        <v>14</v>
      </c>
      <c r="D13" s="12" t="n">
        <f aca="false">COUNTIFS(Data!$E$2:$E$1249,A13,Data!$F$2:$F$1249,B13,Data!$L$2:$L$1249,"Yes")</f>
        <v>0</v>
      </c>
      <c r="E13" s="16" t="n">
        <f aca="false">IFERROR(D13/C13,0)</f>
        <v>0</v>
      </c>
      <c r="F13" s="17" t="n">
        <f aca="false">D13+C13/1000+ROW()/10000000</f>
        <v>0.0140013</v>
      </c>
      <c r="G13" s="12"/>
      <c r="H13" s="12" t="n">
        <v>12</v>
      </c>
      <c r="I13" s="12" t="str">
        <f aca="false">INDEX($A$2:$A$198,MATCH(LARGE($F$2:$F$198,H13),$F$2:$F$198,0))&amp;" - "&amp;INDEX($B$2:$B$198,MATCH(LARGE($F$2:$F$198,H13),$F$2:$F$198,0))</f>
        <v>Azithromycin - QT prolongation</v>
      </c>
      <c r="J13" s="12" t="n">
        <f aca="false">INDEX($C$2:$C$198,MATCH(LARGE($F$2:$F$198,H13),$F$2:$F$198,0))</f>
        <v>10</v>
      </c>
      <c r="K13" s="12" t="n">
        <f aca="false">INDEX($D$2:$D$198,MATCH(LARGE($F$2:$F$198,H13),$F$2:$F$198,0))</f>
        <v>6</v>
      </c>
    </row>
    <row r="14" customFormat="false" ht="15" hidden="false" customHeight="false" outlineLevel="0" collapsed="false">
      <c r="A14" s="12" t="s">
        <v>74</v>
      </c>
      <c r="B14" s="12" t="s">
        <v>75</v>
      </c>
      <c r="C14" s="12" t="n">
        <f aca="false">COUNTIFS(Data!$E$2:$E$1249,A14,Data!$F$2:$F$1249,B14)</f>
        <v>11</v>
      </c>
      <c r="D14" s="12" t="n">
        <f aca="false">COUNTIFS(Data!$E$2:$E$1249,A14,Data!$F$2:$F$1249,B14,Data!$L$2:$L$1249,"Yes")</f>
        <v>10</v>
      </c>
      <c r="E14" s="16" t="n">
        <f aca="false">IFERROR(D14/C14,0)</f>
        <v>0.909090909090909</v>
      </c>
      <c r="F14" s="17" t="n">
        <f aca="false">D14+C14/1000+ROW()/10000000</f>
        <v>10.0110014</v>
      </c>
      <c r="G14" s="12"/>
      <c r="H14" s="12" t="n">
        <v>13</v>
      </c>
      <c r="I14" s="12" t="str">
        <f aca="false">INDEX($A$2:$A$198,MATCH(LARGE($F$2:$F$198,H14),$F$2:$F$198,0))&amp;" - "&amp;INDEX($B$2:$B$198,MATCH(LARGE($F$2:$F$198,H14),$F$2:$F$198,0))</f>
        <v>Naproxen - GI bleeding</v>
      </c>
      <c r="J14" s="12" t="n">
        <f aca="false">INDEX($C$2:$C$198,MATCH(LARGE($F$2:$F$198,H14),$F$2:$F$198,0))</f>
        <v>9</v>
      </c>
      <c r="K14" s="12" t="n">
        <f aca="false">INDEX($D$2:$D$198,MATCH(LARGE($F$2:$F$198,H14),$F$2:$F$198,0))</f>
        <v>6</v>
      </c>
    </row>
    <row r="15" customFormat="false" ht="15" hidden="false" customHeight="false" outlineLevel="0" collapsed="false">
      <c r="A15" s="12" t="s">
        <v>74</v>
      </c>
      <c r="B15" s="12" t="s">
        <v>139</v>
      </c>
      <c r="C15" s="12" t="n">
        <f aca="false">COUNTIFS(Data!$E$2:$E$1249,A15,Data!$F$2:$F$1249,B15)</f>
        <v>14</v>
      </c>
      <c r="D15" s="12" t="n">
        <f aca="false">COUNTIFS(Data!$E$2:$E$1249,A15,Data!$F$2:$F$1249,B15,Data!$L$2:$L$1249,"Yes")</f>
        <v>2</v>
      </c>
      <c r="E15" s="16" t="n">
        <f aca="false">IFERROR(D15/C15,0)</f>
        <v>0.142857142857143</v>
      </c>
      <c r="F15" s="17" t="n">
        <f aca="false">D15+C15/1000+ROW()/10000000</f>
        <v>2.0140015</v>
      </c>
      <c r="G15" s="12"/>
      <c r="H15" s="12" t="n">
        <v>14</v>
      </c>
      <c r="I15" s="12" t="str">
        <f aca="false">INDEX($A$2:$A$198,MATCH(LARGE($F$2:$F$198,H15),$F$2:$F$198,0))&amp;" - "&amp;INDEX($B$2:$B$198,MATCH(LARGE($F$2:$F$198,H15),$F$2:$F$198,0))</f>
        <v>Gliclazide - Hypoglycaemia</v>
      </c>
      <c r="J15" s="12" t="n">
        <f aca="false">INDEX($C$2:$C$198,MATCH(LARGE($F$2:$F$198,H15),$F$2:$F$198,0))</f>
        <v>9</v>
      </c>
      <c r="K15" s="12" t="n">
        <f aca="false">INDEX($D$2:$D$198,MATCH(LARGE($F$2:$F$198,H15),$F$2:$F$198,0))</f>
        <v>6</v>
      </c>
    </row>
    <row r="16" customFormat="false" ht="15" hidden="false" customHeight="false" outlineLevel="0" collapsed="false">
      <c r="A16" s="12" t="s">
        <v>74</v>
      </c>
      <c r="B16" s="12" t="s">
        <v>214</v>
      </c>
      <c r="C16" s="12" t="n">
        <f aca="false">COUNTIFS(Data!$E$2:$E$1249,A16,Data!$F$2:$F$1249,B16)</f>
        <v>12</v>
      </c>
      <c r="D16" s="12" t="n">
        <f aca="false">COUNTIFS(Data!$E$2:$E$1249,A16,Data!$F$2:$F$1249,B16,Data!$L$2:$L$1249,"Yes")</f>
        <v>0</v>
      </c>
      <c r="E16" s="16" t="n">
        <f aca="false">IFERROR(D16/C16,0)</f>
        <v>0</v>
      </c>
      <c r="F16" s="17" t="n">
        <f aca="false">D16+C16/1000+ROW()/10000000</f>
        <v>0.0120016</v>
      </c>
      <c r="G16" s="12"/>
      <c r="H16" s="12" t="n">
        <v>15</v>
      </c>
      <c r="I16" s="12" t="str">
        <f aca="false">INDEX($A$2:$A$198,MATCH(LARGE($F$2:$F$198,H16),$F$2:$F$198,0))&amp;" - "&amp;INDEX($B$2:$B$198,MATCH(LARGE($F$2:$F$198,H16),$F$2:$F$198,0))</f>
        <v>Gentamicin - Nephrotoxicity</v>
      </c>
      <c r="J16" s="12" t="n">
        <f aca="false">INDEX($C$2:$C$198,MATCH(LARGE($F$2:$F$198,H16),$F$2:$F$198,0))</f>
        <v>9</v>
      </c>
      <c r="K16" s="12" t="n">
        <f aca="false">INDEX($D$2:$D$198,MATCH(LARGE($F$2:$F$198,H16),$F$2:$F$198,0))</f>
        <v>6</v>
      </c>
    </row>
    <row r="17" customFormat="false" ht="15" hidden="false" customHeight="false" outlineLevel="0" collapsed="false">
      <c r="A17" s="12" t="s">
        <v>412</v>
      </c>
      <c r="B17" s="12" t="s">
        <v>139</v>
      </c>
      <c r="C17" s="12" t="n">
        <f aca="false">COUNTIFS(Data!$E$2:$E$1249,A17,Data!$F$2:$F$1249,B17)</f>
        <v>2</v>
      </c>
      <c r="D17" s="12" t="n">
        <f aca="false">COUNTIFS(Data!$E$2:$E$1249,A17,Data!$F$2:$F$1249,B17,Data!$L$2:$L$1249,"Yes")</f>
        <v>0</v>
      </c>
      <c r="E17" s="16" t="n">
        <f aca="false">IFERROR(D17/C17,0)</f>
        <v>0</v>
      </c>
      <c r="F17" s="17" t="n">
        <f aca="false">D17+C17/1000+ROW()/10000000</f>
        <v>0.0020017</v>
      </c>
      <c r="G17" s="12"/>
      <c r="H17" s="12"/>
      <c r="I17" s="12"/>
      <c r="J17" s="12"/>
      <c r="K17" s="12"/>
    </row>
    <row r="18" customFormat="false" ht="15" hidden="false" customHeight="false" outlineLevel="0" collapsed="false">
      <c r="A18" s="12" t="s">
        <v>412</v>
      </c>
      <c r="B18" s="12" t="s">
        <v>214</v>
      </c>
      <c r="C18" s="12" t="n">
        <f aca="false">COUNTIFS(Data!$E$2:$E$1249,A18,Data!$F$2:$F$1249,B18)</f>
        <v>6</v>
      </c>
      <c r="D18" s="12" t="n">
        <f aca="false">COUNTIFS(Data!$E$2:$E$1249,A18,Data!$F$2:$F$1249,B18,Data!$L$2:$L$1249,"Yes")</f>
        <v>2</v>
      </c>
      <c r="E18" s="16" t="n">
        <f aca="false">IFERROR(D18/C18,0)</f>
        <v>0.333333333333333</v>
      </c>
      <c r="F18" s="17" t="n">
        <f aca="false">D18+C18/1000+ROW()/10000000</f>
        <v>2.0060018</v>
      </c>
      <c r="G18" s="12"/>
      <c r="H18" s="12"/>
      <c r="I18" s="12"/>
      <c r="J18" s="12"/>
      <c r="K18" s="12"/>
    </row>
    <row r="19" customFormat="false" ht="15" hidden="false" customHeight="false" outlineLevel="0" collapsed="false">
      <c r="A19" s="12" t="s">
        <v>78</v>
      </c>
      <c r="B19" s="12" t="s">
        <v>403</v>
      </c>
      <c r="C19" s="12" t="n">
        <f aca="false">COUNTIFS(Data!$E$2:$E$1249,A19,Data!$F$2:$F$1249,B19)</f>
        <v>3</v>
      </c>
      <c r="D19" s="12" t="n">
        <f aca="false">COUNTIFS(Data!$E$2:$E$1249,A19,Data!$F$2:$F$1249,B19,Data!$L$2:$L$1249,"Yes")</f>
        <v>0</v>
      </c>
      <c r="E19" s="16" t="n">
        <f aca="false">IFERROR(D19/C19,0)</f>
        <v>0</v>
      </c>
      <c r="F19" s="17" t="n">
        <f aca="false">D19+C19/1000+ROW()/10000000</f>
        <v>0.0030019</v>
      </c>
      <c r="G19" s="12"/>
      <c r="H19" s="12"/>
      <c r="I19" s="12"/>
      <c r="J19" s="12"/>
      <c r="K19" s="12"/>
    </row>
    <row r="20" customFormat="false" ht="15" hidden="false" customHeight="false" outlineLevel="0" collapsed="false">
      <c r="A20" s="12" t="s">
        <v>78</v>
      </c>
      <c r="B20" s="12" t="s">
        <v>79</v>
      </c>
      <c r="C20" s="12" t="n">
        <f aca="false">COUNTIFS(Data!$E$2:$E$1249,A20,Data!$F$2:$F$1249,B20)</f>
        <v>9</v>
      </c>
      <c r="D20" s="12" t="n">
        <f aca="false">COUNTIFS(Data!$E$2:$E$1249,A20,Data!$F$2:$F$1249,B20,Data!$L$2:$L$1249,"Yes")</f>
        <v>6</v>
      </c>
      <c r="E20" s="16" t="n">
        <f aca="false">IFERROR(D20/C20,0)</f>
        <v>0.666666666666667</v>
      </c>
      <c r="F20" s="17" t="n">
        <f aca="false">D20+C20/1000+ROW()/10000000</f>
        <v>6.009002</v>
      </c>
      <c r="G20" s="12"/>
      <c r="H20" s="12"/>
      <c r="I20" s="12"/>
      <c r="J20" s="12"/>
      <c r="K20" s="12"/>
    </row>
    <row r="21" customFormat="false" ht="15" hidden="false" customHeight="false" outlineLevel="0" collapsed="false">
      <c r="A21" s="12" t="s">
        <v>206</v>
      </c>
      <c r="B21" s="12" t="s">
        <v>62</v>
      </c>
      <c r="C21" s="12" t="n">
        <f aca="false">COUNTIFS(Data!$E$2:$E$1249,A21,Data!$F$2:$F$1249,B21)</f>
        <v>4</v>
      </c>
      <c r="D21" s="12" t="n">
        <f aca="false">COUNTIFS(Data!$E$2:$E$1249,A21,Data!$F$2:$F$1249,B21,Data!$L$2:$L$1249,"Yes")</f>
        <v>1</v>
      </c>
      <c r="E21" s="16" t="n">
        <f aca="false">IFERROR(D21/C21,0)</f>
        <v>0.25</v>
      </c>
      <c r="F21" s="17" t="n">
        <f aca="false">D21+C21/1000+ROW()/10000000</f>
        <v>1.0040021</v>
      </c>
      <c r="G21" s="12"/>
      <c r="H21" s="12"/>
      <c r="I21" s="12"/>
      <c r="J21" s="12"/>
      <c r="K21" s="12"/>
    </row>
    <row r="22" customFormat="false" ht="15" hidden="false" customHeight="false" outlineLevel="0" collapsed="false">
      <c r="A22" s="12" t="s">
        <v>206</v>
      </c>
      <c r="B22" s="12" t="s">
        <v>318</v>
      </c>
      <c r="C22" s="12" t="n">
        <f aca="false">COUNTIFS(Data!$E$2:$E$1249,A22,Data!$F$2:$F$1249,B22)</f>
        <v>3</v>
      </c>
      <c r="D22" s="12" t="n">
        <f aca="false">COUNTIFS(Data!$E$2:$E$1249,A22,Data!$F$2:$F$1249,B22,Data!$L$2:$L$1249,"Yes")</f>
        <v>3</v>
      </c>
      <c r="E22" s="16" t="n">
        <f aca="false">IFERROR(D22/C22,0)</f>
        <v>1</v>
      </c>
      <c r="F22" s="17" t="n">
        <f aca="false">D22+C22/1000+ROW()/10000000</f>
        <v>3.0030022</v>
      </c>
      <c r="G22" s="12"/>
      <c r="H22" s="12"/>
      <c r="I22" s="12"/>
      <c r="J22" s="12"/>
      <c r="K22" s="12"/>
    </row>
    <row r="23" customFormat="false" ht="15" hidden="false" customHeight="false" outlineLevel="0" collapsed="false">
      <c r="A23" s="12" t="s">
        <v>89</v>
      </c>
      <c r="B23" s="12" t="s">
        <v>364</v>
      </c>
      <c r="C23" s="12" t="n">
        <f aca="false">COUNTIFS(Data!$E$2:$E$1249,A23,Data!$F$2:$F$1249,B23)</f>
        <v>4</v>
      </c>
      <c r="D23" s="12" t="n">
        <f aca="false">COUNTIFS(Data!$E$2:$E$1249,A23,Data!$F$2:$F$1249,B23,Data!$L$2:$L$1249,"Yes")</f>
        <v>3</v>
      </c>
      <c r="E23" s="16" t="n">
        <f aca="false">IFERROR(D23/C23,0)</f>
        <v>0.75</v>
      </c>
      <c r="F23" s="17" t="n">
        <f aca="false">D23+C23/1000+ROW()/10000000</f>
        <v>3.0040023</v>
      </c>
      <c r="G23" s="12"/>
      <c r="H23" s="12"/>
      <c r="I23" s="12"/>
      <c r="J23" s="12"/>
      <c r="K23" s="12"/>
    </row>
    <row r="24" customFormat="false" ht="15" hidden="false" customHeight="false" outlineLevel="0" collapsed="false">
      <c r="A24" s="12" t="s">
        <v>89</v>
      </c>
      <c r="B24" s="12" t="s">
        <v>37</v>
      </c>
      <c r="C24" s="12" t="n">
        <f aca="false">COUNTIFS(Data!$E$2:$E$1249,A24,Data!$F$2:$F$1249,B24)</f>
        <v>17</v>
      </c>
      <c r="D24" s="12" t="n">
        <f aca="false">COUNTIFS(Data!$E$2:$E$1249,A24,Data!$F$2:$F$1249,B24,Data!$L$2:$L$1249,"Yes")</f>
        <v>0</v>
      </c>
      <c r="E24" s="16" t="n">
        <f aca="false">IFERROR(D24/C24,0)</f>
        <v>0</v>
      </c>
      <c r="F24" s="17" t="n">
        <f aca="false">D24+C24/1000+ROW()/10000000</f>
        <v>0.0170024</v>
      </c>
      <c r="G24" s="12"/>
      <c r="H24" s="12"/>
      <c r="I24" s="12"/>
      <c r="J24" s="12"/>
      <c r="K24" s="12"/>
    </row>
    <row r="25" customFormat="false" ht="15" hidden="false" customHeight="false" outlineLevel="0" collapsed="false">
      <c r="A25" s="12" t="s">
        <v>315</v>
      </c>
      <c r="B25" s="12" t="s">
        <v>176</v>
      </c>
      <c r="C25" s="12" t="n">
        <f aca="false">COUNTIFS(Data!$E$2:$E$1249,A25,Data!$F$2:$F$1249,B25)</f>
        <v>9</v>
      </c>
      <c r="D25" s="12" t="n">
        <f aca="false">COUNTIFS(Data!$E$2:$E$1249,A25,Data!$F$2:$F$1249,B25,Data!$L$2:$L$1249,"Yes")</f>
        <v>2</v>
      </c>
      <c r="E25" s="16" t="n">
        <f aca="false">IFERROR(D25/C25,0)</f>
        <v>0.222222222222222</v>
      </c>
      <c r="F25" s="17" t="n">
        <f aca="false">D25+C25/1000+ROW()/10000000</f>
        <v>2.0090025</v>
      </c>
      <c r="G25" s="12"/>
      <c r="H25" s="12"/>
      <c r="I25" s="12"/>
      <c r="J25" s="12"/>
      <c r="K25" s="12"/>
    </row>
    <row r="26" customFormat="false" ht="15" hidden="false" customHeight="false" outlineLevel="0" collapsed="false">
      <c r="A26" s="12" t="s">
        <v>315</v>
      </c>
      <c r="B26" s="12" t="s">
        <v>62</v>
      </c>
      <c r="C26" s="12" t="n">
        <f aca="false">COUNTIFS(Data!$E$2:$E$1249,A26,Data!$F$2:$F$1249,B26)</f>
        <v>4</v>
      </c>
      <c r="D26" s="12" t="n">
        <f aca="false">COUNTIFS(Data!$E$2:$E$1249,A26,Data!$F$2:$F$1249,B26,Data!$L$2:$L$1249,"Yes")</f>
        <v>0</v>
      </c>
      <c r="E26" s="16" t="n">
        <f aca="false">IFERROR(D26/C26,0)</f>
        <v>0</v>
      </c>
      <c r="F26" s="17" t="n">
        <f aca="false">D26+C26/1000+ROW()/10000000</f>
        <v>0.0040026</v>
      </c>
      <c r="G26" s="12"/>
      <c r="H26" s="12"/>
      <c r="I26" s="12"/>
      <c r="J26" s="12"/>
      <c r="K26" s="12"/>
    </row>
    <row r="27" customFormat="false" ht="15" hidden="false" customHeight="false" outlineLevel="0" collapsed="false">
      <c r="A27" s="12" t="s">
        <v>241</v>
      </c>
      <c r="B27" s="12" t="s">
        <v>135</v>
      </c>
      <c r="C27" s="12" t="n">
        <f aca="false">COUNTIFS(Data!$E$2:$E$1249,A27,Data!$F$2:$F$1249,B27)</f>
        <v>19</v>
      </c>
      <c r="D27" s="12" t="n">
        <f aca="false">COUNTIFS(Data!$E$2:$E$1249,A27,Data!$F$2:$F$1249,B27,Data!$L$2:$L$1249,"Yes")</f>
        <v>0</v>
      </c>
      <c r="E27" s="16" t="n">
        <f aca="false">IFERROR(D27/C27,0)</f>
        <v>0</v>
      </c>
      <c r="F27" s="17" t="n">
        <f aca="false">D27+C27/1000+ROW()/10000000</f>
        <v>0.0190027</v>
      </c>
      <c r="G27" s="12"/>
      <c r="H27" s="12"/>
      <c r="I27" s="12"/>
      <c r="J27" s="12"/>
      <c r="K27" s="12"/>
    </row>
    <row r="28" customFormat="false" ht="15" hidden="false" customHeight="false" outlineLevel="0" collapsed="false">
      <c r="A28" s="12" t="s">
        <v>241</v>
      </c>
      <c r="B28" s="12" t="s">
        <v>333</v>
      </c>
      <c r="C28" s="12" t="n">
        <f aca="false">COUNTIFS(Data!$E$2:$E$1249,A28,Data!$F$2:$F$1249,B28)</f>
        <v>8</v>
      </c>
      <c r="D28" s="12" t="n">
        <f aca="false">COUNTIFS(Data!$E$2:$E$1249,A28,Data!$F$2:$F$1249,B28,Data!$L$2:$L$1249,"Yes")</f>
        <v>1</v>
      </c>
      <c r="E28" s="16" t="n">
        <f aca="false">IFERROR(D28/C28,0)</f>
        <v>0.125</v>
      </c>
      <c r="F28" s="17" t="n">
        <f aca="false">D28+C28/1000+ROW()/10000000</f>
        <v>1.0080028</v>
      </c>
      <c r="G28" s="12"/>
      <c r="H28" s="12"/>
      <c r="I28" s="12"/>
      <c r="J28" s="12"/>
      <c r="K28" s="12"/>
    </row>
    <row r="29" customFormat="false" ht="15" hidden="false" customHeight="false" outlineLevel="0" collapsed="false">
      <c r="A29" s="12" t="s">
        <v>241</v>
      </c>
      <c r="B29" s="12" t="s">
        <v>254</v>
      </c>
      <c r="C29" s="12" t="n">
        <f aca="false">COUNTIFS(Data!$E$2:$E$1249,A29,Data!$F$2:$F$1249,B29)</f>
        <v>3</v>
      </c>
      <c r="D29" s="12" t="n">
        <f aca="false">COUNTIFS(Data!$E$2:$E$1249,A29,Data!$F$2:$F$1249,B29,Data!$L$2:$L$1249,"Yes")</f>
        <v>3</v>
      </c>
      <c r="E29" s="16" t="n">
        <f aca="false">IFERROR(D29/C29,0)</f>
        <v>1</v>
      </c>
      <c r="F29" s="17" t="n">
        <f aca="false">D29+C29/1000+ROW()/10000000</f>
        <v>3.0030029</v>
      </c>
      <c r="G29" s="12"/>
      <c r="H29" s="12"/>
      <c r="I29" s="12"/>
      <c r="J29" s="12"/>
      <c r="K29" s="12"/>
    </row>
    <row r="30" customFormat="false" ht="15" hidden="false" customHeight="false" outlineLevel="0" collapsed="false">
      <c r="A30" s="12" t="s">
        <v>183</v>
      </c>
      <c r="B30" s="12" t="s">
        <v>139</v>
      </c>
      <c r="C30" s="12" t="n">
        <f aca="false">COUNTIFS(Data!$E$2:$E$1249,A30,Data!$F$2:$F$1249,B30)</f>
        <v>10</v>
      </c>
      <c r="D30" s="12" t="n">
        <f aca="false">COUNTIFS(Data!$E$2:$E$1249,A30,Data!$F$2:$F$1249,B30,Data!$L$2:$L$1249,"Yes")</f>
        <v>2</v>
      </c>
      <c r="E30" s="16" t="n">
        <f aca="false">IFERROR(D30/C30,0)</f>
        <v>0.2</v>
      </c>
      <c r="F30" s="17" t="n">
        <f aca="false">D30+C30/1000+ROW()/10000000</f>
        <v>2.010003</v>
      </c>
      <c r="G30" s="12"/>
      <c r="H30" s="12"/>
      <c r="I30" s="12"/>
      <c r="J30" s="12"/>
      <c r="K30" s="12"/>
    </row>
    <row r="31" customFormat="false" ht="15" hidden="false" customHeight="false" outlineLevel="0" collapsed="false">
      <c r="A31" s="12" t="s">
        <v>183</v>
      </c>
      <c r="B31" s="12" t="s">
        <v>325</v>
      </c>
      <c r="C31" s="12" t="n">
        <f aca="false">COUNTIFS(Data!$E$2:$E$1249,A31,Data!$F$2:$F$1249,B31)</f>
        <v>10</v>
      </c>
      <c r="D31" s="12" t="n">
        <f aca="false">COUNTIFS(Data!$E$2:$E$1249,A31,Data!$F$2:$F$1249,B31,Data!$L$2:$L$1249,"Yes")</f>
        <v>6</v>
      </c>
      <c r="E31" s="16" t="n">
        <f aca="false">IFERROR(D31/C31,0)</f>
        <v>0.6</v>
      </c>
      <c r="F31" s="17" t="n">
        <f aca="false">D31+C31/1000+ROW()/10000000</f>
        <v>6.0100031</v>
      </c>
      <c r="G31" s="12"/>
      <c r="H31" s="12"/>
      <c r="I31" s="12"/>
      <c r="J31" s="12"/>
      <c r="K31" s="12"/>
    </row>
    <row r="32" customFormat="false" ht="15" hidden="false" customHeight="false" outlineLevel="0" collapsed="false">
      <c r="A32" s="12" t="s">
        <v>291</v>
      </c>
      <c r="B32" s="12" t="s">
        <v>139</v>
      </c>
      <c r="C32" s="12" t="n">
        <f aca="false">COUNTIFS(Data!$E$2:$E$1249,A32,Data!$F$2:$F$1249,B32)</f>
        <v>1</v>
      </c>
      <c r="D32" s="12" t="n">
        <f aca="false">COUNTIFS(Data!$E$2:$E$1249,A32,Data!$F$2:$F$1249,B32,Data!$L$2:$L$1249,"Yes")</f>
        <v>1</v>
      </c>
      <c r="E32" s="16" t="n">
        <f aca="false">IFERROR(D32/C32,0)</f>
        <v>1</v>
      </c>
      <c r="F32" s="17" t="n">
        <f aca="false">D32+C32/1000+ROW()/10000000</f>
        <v>1.0010032</v>
      </c>
      <c r="G32" s="12"/>
      <c r="H32" s="12"/>
      <c r="I32" s="12"/>
      <c r="J32" s="12"/>
      <c r="K32" s="12"/>
    </row>
    <row r="33" customFormat="false" ht="15" hidden="false" customHeight="false" outlineLevel="0" collapsed="false">
      <c r="A33" s="12" t="s">
        <v>291</v>
      </c>
      <c r="B33" s="12" t="s">
        <v>292</v>
      </c>
      <c r="C33" s="12" t="n">
        <f aca="false">COUNTIFS(Data!$E$2:$E$1249,A33,Data!$F$2:$F$1249,B33)</f>
        <v>2</v>
      </c>
      <c r="D33" s="12" t="n">
        <f aca="false">COUNTIFS(Data!$E$2:$E$1249,A33,Data!$F$2:$F$1249,B33,Data!$L$2:$L$1249,"Yes")</f>
        <v>1</v>
      </c>
      <c r="E33" s="16" t="n">
        <f aca="false">IFERROR(D33/C33,0)</f>
        <v>0.5</v>
      </c>
      <c r="F33" s="17" t="n">
        <f aca="false">D33+C33/1000+ROW()/10000000</f>
        <v>1.0020033</v>
      </c>
      <c r="G33" s="12"/>
      <c r="H33" s="12"/>
      <c r="I33" s="12"/>
      <c r="J33" s="12"/>
      <c r="K33" s="12"/>
    </row>
    <row r="34" customFormat="false" ht="15" hidden="false" customHeight="false" outlineLevel="0" collapsed="false">
      <c r="A34" s="12" t="s">
        <v>386</v>
      </c>
      <c r="B34" s="12" t="s">
        <v>62</v>
      </c>
      <c r="C34" s="12" t="n">
        <f aca="false">COUNTIFS(Data!$E$2:$E$1249,A34,Data!$F$2:$F$1249,B34)</f>
        <v>6</v>
      </c>
      <c r="D34" s="12" t="n">
        <f aca="false">COUNTIFS(Data!$E$2:$E$1249,A34,Data!$F$2:$F$1249,B34,Data!$L$2:$L$1249,"Yes")</f>
        <v>0</v>
      </c>
      <c r="E34" s="16" t="n">
        <f aca="false">IFERROR(D34/C34,0)</f>
        <v>0</v>
      </c>
      <c r="F34" s="17" t="n">
        <f aca="false">D34+C34/1000+ROW()/10000000</f>
        <v>0.0060034</v>
      </c>
      <c r="G34" s="12"/>
      <c r="H34" s="12"/>
      <c r="I34" s="12"/>
      <c r="J34" s="12"/>
      <c r="K34" s="12"/>
    </row>
    <row r="35" customFormat="false" ht="15" hidden="false" customHeight="false" outlineLevel="0" collapsed="false">
      <c r="A35" s="12" t="s">
        <v>386</v>
      </c>
      <c r="B35" s="12" t="s">
        <v>531</v>
      </c>
      <c r="C35" s="12" t="n">
        <f aca="false">COUNTIFS(Data!$E$2:$E$1249,A35,Data!$F$2:$F$1249,B35)</f>
        <v>8</v>
      </c>
      <c r="D35" s="12" t="n">
        <f aca="false">COUNTIFS(Data!$E$2:$E$1249,A35,Data!$F$2:$F$1249,B35,Data!$L$2:$L$1249,"Yes")</f>
        <v>1</v>
      </c>
      <c r="E35" s="16" t="n">
        <f aca="false">IFERROR(D35/C35,0)</f>
        <v>0.125</v>
      </c>
      <c r="F35" s="17" t="n">
        <f aca="false">D35+C35/1000+ROW()/10000000</f>
        <v>1.0080035</v>
      </c>
      <c r="G35" s="12"/>
      <c r="H35" s="12"/>
      <c r="I35" s="12"/>
      <c r="J35" s="12"/>
      <c r="K35" s="12"/>
    </row>
    <row r="36" customFormat="false" ht="15" hidden="false" customHeight="false" outlineLevel="0" collapsed="false">
      <c r="A36" s="12" t="s">
        <v>386</v>
      </c>
      <c r="B36" s="12" t="s">
        <v>114</v>
      </c>
      <c r="C36" s="12" t="n">
        <f aca="false">COUNTIFS(Data!$E$2:$E$1249,A36,Data!$F$2:$F$1249,B36)</f>
        <v>9</v>
      </c>
      <c r="D36" s="12" t="n">
        <f aca="false">COUNTIFS(Data!$E$2:$E$1249,A36,Data!$F$2:$F$1249,B36,Data!$L$2:$L$1249,"Yes")</f>
        <v>7</v>
      </c>
      <c r="E36" s="16" t="n">
        <f aca="false">IFERROR(D36/C36,0)</f>
        <v>0.777777777777778</v>
      </c>
      <c r="F36" s="17" t="n">
        <f aca="false">D36+C36/1000+ROW()/10000000</f>
        <v>7.0090036</v>
      </c>
      <c r="G36" s="12"/>
      <c r="H36" s="12"/>
      <c r="I36" s="12"/>
      <c r="J36" s="12"/>
      <c r="K36" s="12"/>
    </row>
    <row r="37" customFormat="false" ht="15" hidden="false" customHeight="false" outlineLevel="0" collapsed="false">
      <c r="A37" s="12" t="s">
        <v>138</v>
      </c>
      <c r="B37" s="12" t="s">
        <v>139</v>
      </c>
      <c r="C37" s="12" t="n">
        <f aca="false">COUNTIFS(Data!$E$2:$E$1249,A37,Data!$F$2:$F$1249,B37)</f>
        <v>6</v>
      </c>
      <c r="D37" s="12" t="n">
        <f aca="false">COUNTIFS(Data!$E$2:$E$1249,A37,Data!$F$2:$F$1249,B37,Data!$L$2:$L$1249,"Yes")</f>
        <v>2</v>
      </c>
      <c r="E37" s="16" t="n">
        <f aca="false">IFERROR(D37/C37,0)</f>
        <v>0.333333333333333</v>
      </c>
      <c r="F37" s="17" t="n">
        <f aca="false">D37+C37/1000+ROW()/10000000</f>
        <v>2.0060037</v>
      </c>
      <c r="G37" s="12"/>
      <c r="H37" s="12"/>
      <c r="I37" s="12"/>
      <c r="J37" s="12"/>
      <c r="K37" s="12"/>
    </row>
    <row r="38" customFormat="false" ht="15" hidden="false" customHeight="false" outlineLevel="0" collapsed="false">
      <c r="A38" s="12" t="s">
        <v>138</v>
      </c>
      <c r="B38" s="12" t="s">
        <v>214</v>
      </c>
      <c r="C38" s="12" t="n">
        <f aca="false">COUNTIFS(Data!$E$2:$E$1249,A38,Data!$F$2:$F$1249,B38)</f>
        <v>4</v>
      </c>
      <c r="D38" s="12" t="n">
        <f aca="false">COUNTIFS(Data!$E$2:$E$1249,A38,Data!$F$2:$F$1249,B38,Data!$L$2:$L$1249,"Yes")</f>
        <v>1</v>
      </c>
      <c r="E38" s="16" t="n">
        <f aca="false">IFERROR(D38/C38,0)</f>
        <v>0.25</v>
      </c>
      <c r="F38" s="17" t="n">
        <f aca="false">D38+C38/1000+ROW()/10000000</f>
        <v>1.0040038</v>
      </c>
      <c r="G38" s="12"/>
      <c r="H38" s="12"/>
      <c r="I38" s="12"/>
      <c r="J38" s="12"/>
      <c r="K38" s="12"/>
    </row>
    <row r="39" customFormat="false" ht="15" hidden="false" customHeight="false" outlineLevel="0" collapsed="false">
      <c r="A39" s="12" t="s">
        <v>229</v>
      </c>
      <c r="B39" s="12" t="s">
        <v>75</v>
      </c>
      <c r="C39" s="12" t="n">
        <f aca="false">COUNTIFS(Data!$E$2:$E$1249,A39,Data!$F$2:$F$1249,B39)</f>
        <v>1</v>
      </c>
      <c r="D39" s="12" t="n">
        <f aca="false">COUNTIFS(Data!$E$2:$E$1249,A39,Data!$F$2:$F$1249,B39,Data!$L$2:$L$1249,"Yes")</f>
        <v>1</v>
      </c>
      <c r="E39" s="16" t="n">
        <f aca="false">IFERROR(D39/C39,0)</f>
        <v>1</v>
      </c>
      <c r="F39" s="17" t="n">
        <f aca="false">D39+C39/1000+ROW()/10000000</f>
        <v>1.0010039</v>
      </c>
      <c r="G39" s="12"/>
      <c r="H39" s="12"/>
      <c r="I39" s="12"/>
      <c r="J39" s="12"/>
      <c r="K39" s="12"/>
    </row>
    <row r="40" customFormat="false" ht="15" hidden="false" customHeight="false" outlineLevel="0" collapsed="false">
      <c r="A40" s="12" t="s">
        <v>229</v>
      </c>
      <c r="B40" s="12" t="s">
        <v>139</v>
      </c>
      <c r="C40" s="12" t="n">
        <f aca="false">COUNTIFS(Data!$E$2:$E$1249,A40,Data!$F$2:$F$1249,B40)</f>
        <v>10</v>
      </c>
      <c r="D40" s="12" t="n">
        <f aca="false">COUNTIFS(Data!$E$2:$E$1249,A40,Data!$F$2:$F$1249,B40,Data!$L$2:$L$1249,"Yes")</f>
        <v>1</v>
      </c>
      <c r="E40" s="16" t="n">
        <f aca="false">IFERROR(D40/C40,0)</f>
        <v>0.1</v>
      </c>
      <c r="F40" s="17" t="n">
        <f aca="false">D40+C40/1000+ROW()/10000000</f>
        <v>1.010004</v>
      </c>
      <c r="G40" s="12"/>
      <c r="H40" s="12"/>
      <c r="I40" s="12"/>
      <c r="J40" s="12"/>
      <c r="K40" s="12"/>
    </row>
    <row r="41" customFormat="false" ht="15" hidden="false" customHeight="false" outlineLevel="0" collapsed="false">
      <c r="A41" s="12" t="s">
        <v>229</v>
      </c>
      <c r="B41" s="12" t="s">
        <v>214</v>
      </c>
      <c r="C41" s="12" t="n">
        <f aca="false">COUNTIFS(Data!$E$2:$E$1249,A41,Data!$F$2:$F$1249,B41)</f>
        <v>6</v>
      </c>
      <c r="D41" s="12" t="n">
        <f aca="false">COUNTIFS(Data!$E$2:$E$1249,A41,Data!$F$2:$F$1249,B41,Data!$L$2:$L$1249,"Yes")</f>
        <v>0</v>
      </c>
      <c r="E41" s="16" t="n">
        <f aca="false">IFERROR(D41/C41,0)</f>
        <v>0</v>
      </c>
      <c r="F41" s="17" t="n">
        <f aca="false">D41+C41/1000+ROW()/10000000</f>
        <v>0.0060041</v>
      </c>
      <c r="G41" s="12"/>
      <c r="H41" s="12"/>
      <c r="I41" s="12"/>
      <c r="J41" s="12"/>
      <c r="K41" s="12"/>
    </row>
    <row r="42" customFormat="false" ht="15" hidden="false" customHeight="false" outlineLevel="0" collapsed="false">
      <c r="A42" s="12" t="s">
        <v>311</v>
      </c>
      <c r="B42" s="12" t="s">
        <v>37</v>
      </c>
      <c r="C42" s="12" t="n">
        <f aca="false">COUNTIFS(Data!$E$2:$E$1249,A42,Data!$F$2:$F$1249,B42)</f>
        <v>2</v>
      </c>
      <c r="D42" s="12" t="n">
        <f aca="false">COUNTIFS(Data!$E$2:$E$1249,A42,Data!$F$2:$F$1249,B42,Data!$L$2:$L$1249,"Yes")</f>
        <v>0</v>
      </c>
      <c r="E42" s="16" t="n">
        <f aca="false">IFERROR(D42/C42,0)</f>
        <v>0</v>
      </c>
      <c r="F42" s="17" t="n">
        <f aca="false">D42+C42/1000+ROW()/10000000</f>
        <v>0.0020042</v>
      </c>
      <c r="G42" s="12"/>
      <c r="H42" s="12"/>
      <c r="I42" s="12"/>
      <c r="J42" s="12"/>
      <c r="K42" s="12"/>
    </row>
    <row r="43" customFormat="false" ht="15" hidden="false" customHeight="false" outlineLevel="0" collapsed="false">
      <c r="A43" s="12" t="s">
        <v>311</v>
      </c>
      <c r="B43" s="12" t="s">
        <v>442</v>
      </c>
      <c r="C43" s="12" t="n">
        <f aca="false">COUNTIFS(Data!$E$2:$E$1249,A43,Data!$F$2:$F$1249,B43)</f>
        <v>3</v>
      </c>
      <c r="D43" s="12" t="n">
        <f aca="false">COUNTIFS(Data!$E$2:$E$1249,A43,Data!$F$2:$F$1249,B43,Data!$L$2:$L$1249,"Yes")</f>
        <v>2</v>
      </c>
      <c r="E43" s="16" t="n">
        <f aca="false">IFERROR(D43/C43,0)</f>
        <v>0.666666666666667</v>
      </c>
      <c r="F43" s="17" t="n">
        <f aca="false">D43+C43/1000+ROW()/10000000</f>
        <v>2.0030043</v>
      </c>
      <c r="G43" s="12"/>
      <c r="H43" s="12"/>
      <c r="I43" s="12"/>
      <c r="J43" s="12"/>
      <c r="K43" s="12"/>
    </row>
    <row r="44" customFormat="false" ht="15" hidden="false" customHeight="false" outlineLevel="0" collapsed="false">
      <c r="A44" s="12" t="s">
        <v>311</v>
      </c>
      <c r="B44" s="12" t="s">
        <v>249</v>
      </c>
      <c r="C44" s="12" t="n">
        <f aca="false">COUNTIFS(Data!$E$2:$E$1249,A44,Data!$F$2:$F$1249,B44)</f>
        <v>4</v>
      </c>
      <c r="D44" s="12" t="n">
        <f aca="false">COUNTIFS(Data!$E$2:$E$1249,A44,Data!$F$2:$F$1249,B44,Data!$L$2:$L$1249,"Yes")</f>
        <v>1</v>
      </c>
      <c r="E44" s="16" t="n">
        <f aca="false">IFERROR(D44/C44,0)</f>
        <v>0.25</v>
      </c>
      <c r="F44" s="17" t="n">
        <f aca="false">D44+C44/1000+ROW()/10000000</f>
        <v>1.0040044</v>
      </c>
      <c r="G44" s="12"/>
      <c r="H44" s="12"/>
      <c r="I44" s="12"/>
      <c r="J44" s="12"/>
      <c r="K44" s="12"/>
    </row>
    <row r="45" customFormat="false" ht="15" hidden="false" customHeight="false" outlineLevel="0" collapsed="false">
      <c r="A45" s="12" t="s">
        <v>321</v>
      </c>
      <c r="B45" s="12" t="s">
        <v>142</v>
      </c>
      <c r="C45" s="12" t="n">
        <f aca="false">COUNTIFS(Data!$E$2:$E$1249,A45,Data!$F$2:$F$1249,B45)</f>
        <v>4</v>
      </c>
      <c r="D45" s="12" t="n">
        <f aca="false">COUNTIFS(Data!$E$2:$E$1249,A45,Data!$F$2:$F$1249,B45,Data!$L$2:$L$1249,"Yes")</f>
        <v>0</v>
      </c>
      <c r="E45" s="16" t="n">
        <f aca="false">IFERROR(D45/C45,0)</f>
        <v>0</v>
      </c>
      <c r="F45" s="17" t="n">
        <f aca="false">D45+C45/1000+ROW()/10000000</f>
        <v>0.0040045</v>
      </c>
      <c r="G45" s="12"/>
      <c r="H45" s="12"/>
      <c r="I45" s="12"/>
      <c r="J45" s="12"/>
      <c r="K45" s="12"/>
    </row>
    <row r="46" customFormat="false" ht="15" hidden="false" customHeight="false" outlineLevel="0" collapsed="false">
      <c r="A46" s="12" t="s">
        <v>321</v>
      </c>
      <c r="B46" s="12" t="s">
        <v>322</v>
      </c>
      <c r="C46" s="12" t="n">
        <f aca="false">COUNTIFS(Data!$E$2:$E$1249,A46,Data!$F$2:$F$1249,B46)</f>
        <v>8</v>
      </c>
      <c r="D46" s="12" t="n">
        <f aca="false">COUNTIFS(Data!$E$2:$E$1249,A46,Data!$F$2:$F$1249,B46,Data!$L$2:$L$1249,"Yes")</f>
        <v>2</v>
      </c>
      <c r="E46" s="16" t="n">
        <f aca="false">IFERROR(D46/C46,0)</f>
        <v>0.25</v>
      </c>
      <c r="F46" s="17" t="n">
        <f aca="false">D46+C46/1000+ROW()/10000000</f>
        <v>2.0080046</v>
      </c>
      <c r="G46" s="12"/>
      <c r="H46" s="12"/>
      <c r="I46" s="12"/>
      <c r="J46" s="12"/>
      <c r="K46" s="12"/>
    </row>
    <row r="47" customFormat="false" ht="15" hidden="false" customHeight="false" outlineLevel="0" collapsed="false">
      <c r="A47" s="12" t="s">
        <v>179</v>
      </c>
      <c r="B47" s="12" t="s">
        <v>45</v>
      </c>
      <c r="C47" s="12" t="n">
        <f aca="false">COUNTIFS(Data!$E$2:$E$1249,A47,Data!$F$2:$F$1249,B47)</f>
        <v>10</v>
      </c>
      <c r="D47" s="12" t="n">
        <f aca="false">COUNTIFS(Data!$E$2:$E$1249,A47,Data!$F$2:$F$1249,B47,Data!$L$2:$L$1249,"Yes")</f>
        <v>0</v>
      </c>
      <c r="E47" s="16" t="n">
        <f aca="false">IFERROR(D47/C47,0)</f>
        <v>0</v>
      </c>
      <c r="F47" s="17" t="n">
        <f aca="false">D47+C47/1000+ROW()/10000000</f>
        <v>0.0100047</v>
      </c>
      <c r="G47" s="12"/>
      <c r="H47" s="12"/>
      <c r="I47" s="12"/>
      <c r="J47" s="12"/>
      <c r="K47" s="12"/>
    </row>
    <row r="48" customFormat="false" ht="15" hidden="false" customHeight="false" outlineLevel="0" collapsed="false">
      <c r="A48" s="12" t="s">
        <v>179</v>
      </c>
      <c r="B48" s="12" t="s">
        <v>325</v>
      </c>
      <c r="C48" s="12" t="n">
        <f aca="false">COUNTIFS(Data!$E$2:$E$1249,A48,Data!$F$2:$F$1249,B48)</f>
        <v>9</v>
      </c>
      <c r="D48" s="12" t="n">
        <f aca="false">COUNTIFS(Data!$E$2:$E$1249,A48,Data!$F$2:$F$1249,B48,Data!$L$2:$L$1249,"Yes")</f>
        <v>7</v>
      </c>
      <c r="E48" s="16" t="n">
        <f aca="false">IFERROR(D48/C48,0)</f>
        <v>0.777777777777778</v>
      </c>
      <c r="F48" s="17" t="n">
        <f aca="false">D48+C48/1000+ROW()/10000000</f>
        <v>7.0090048</v>
      </c>
      <c r="G48" s="12"/>
      <c r="H48" s="12"/>
      <c r="I48" s="12"/>
      <c r="J48" s="12"/>
      <c r="K48" s="12"/>
    </row>
    <row r="49" customFormat="false" ht="15" hidden="false" customHeight="false" outlineLevel="0" collapsed="false">
      <c r="A49" s="12" t="s">
        <v>179</v>
      </c>
      <c r="B49" s="12" t="s">
        <v>284</v>
      </c>
      <c r="C49" s="12" t="n">
        <f aca="false">COUNTIFS(Data!$E$2:$E$1249,A49,Data!$F$2:$F$1249,B49)</f>
        <v>4</v>
      </c>
      <c r="D49" s="12" t="n">
        <f aca="false">COUNTIFS(Data!$E$2:$E$1249,A49,Data!$F$2:$F$1249,B49,Data!$L$2:$L$1249,"Yes")</f>
        <v>4</v>
      </c>
      <c r="E49" s="16" t="n">
        <f aca="false">IFERROR(D49/C49,0)</f>
        <v>1</v>
      </c>
      <c r="F49" s="17" t="n">
        <f aca="false">D49+C49/1000+ROW()/10000000</f>
        <v>4.0040049</v>
      </c>
      <c r="G49" s="12"/>
      <c r="H49" s="12"/>
      <c r="I49" s="12"/>
      <c r="J49" s="12"/>
      <c r="K49" s="12"/>
    </row>
    <row r="50" customFormat="false" ht="15" hidden="false" customHeight="false" outlineLevel="0" collapsed="false">
      <c r="A50" s="12" t="s">
        <v>454</v>
      </c>
      <c r="B50" s="12" t="s">
        <v>45</v>
      </c>
      <c r="C50" s="12" t="n">
        <f aca="false">COUNTIFS(Data!$E$2:$E$1249,A50,Data!$F$2:$F$1249,B50)</f>
        <v>5</v>
      </c>
      <c r="D50" s="12" t="n">
        <f aca="false">COUNTIFS(Data!$E$2:$E$1249,A50,Data!$F$2:$F$1249,B50,Data!$L$2:$L$1249,"Yes")</f>
        <v>0</v>
      </c>
      <c r="E50" s="16" t="n">
        <f aca="false">IFERROR(D50/C50,0)</f>
        <v>0</v>
      </c>
      <c r="F50" s="17" t="n">
        <f aca="false">D50+C50/1000+ROW()/10000000</f>
        <v>0.005005</v>
      </c>
      <c r="G50" s="12"/>
      <c r="H50" s="12"/>
      <c r="I50" s="12"/>
      <c r="J50" s="12"/>
      <c r="K50" s="12"/>
    </row>
    <row r="51" customFormat="false" ht="15" hidden="false" customHeight="false" outlineLevel="0" collapsed="false">
      <c r="A51" s="12" t="s">
        <v>454</v>
      </c>
      <c r="B51" s="12" t="s">
        <v>145</v>
      </c>
      <c r="C51" s="12" t="n">
        <f aca="false">COUNTIFS(Data!$E$2:$E$1249,A51,Data!$F$2:$F$1249,B51)</f>
        <v>1</v>
      </c>
      <c r="D51" s="12" t="n">
        <f aca="false">COUNTIFS(Data!$E$2:$E$1249,A51,Data!$F$2:$F$1249,B51,Data!$L$2:$L$1249,"Yes")</f>
        <v>1</v>
      </c>
      <c r="E51" s="16" t="n">
        <f aca="false">IFERROR(D51/C51,0)</f>
        <v>1</v>
      </c>
      <c r="F51" s="17" t="n">
        <f aca="false">D51+C51/1000+ROW()/10000000</f>
        <v>1.0010051</v>
      </c>
      <c r="G51" s="12"/>
      <c r="H51" s="12"/>
      <c r="I51" s="12"/>
      <c r="J51" s="12"/>
      <c r="K51" s="12"/>
    </row>
    <row r="52" customFormat="false" ht="15" hidden="false" customHeight="false" outlineLevel="0" collapsed="false">
      <c r="A52" s="12" t="s">
        <v>454</v>
      </c>
      <c r="B52" s="12" t="s">
        <v>52</v>
      </c>
      <c r="C52" s="12" t="n">
        <f aca="false">COUNTIFS(Data!$E$2:$E$1249,A52,Data!$F$2:$F$1249,B52)</f>
        <v>2</v>
      </c>
      <c r="D52" s="12" t="n">
        <f aca="false">COUNTIFS(Data!$E$2:$E$1249,A52,Data!$F$2:$F$1249,B52,Data!$L$2:$L$1249,"Yes")</f>
        <v>2</v>
      </c>
      <c r="E52" s="16" t="n">
        <f aca="false">IFERROR(D52/C52,0)</f>
        <v>1</v>
      </c>
      <c r="F52" s="17" t="n">
        <f aca="false">D52+C52/1000+ROW()/10000000</f>
        <v>2.0020052</v>
      </c>
      <c r="G52" s="12"/>
      <c r="H52" s="12"/>
      <c r="I52" s="12"/>
      <c r="J52" s="12"/>
      <c r="K52" s="12"/>
    </row>
    <row r="53" customFormat="false" ht="15" hidden="false" customHeight="false" outlineLevel="0" collapsed="false">
      <c r="A53" s="12" t="s">
        <v>324</v>
      </c>
      <c r="B53" s="12" t="s">
        <v>45</v>
      </c>
      <c r="C53" s="12" t="n">
        <f aca="false">COUNTIFS(Data!$E$2:$E$1249,A53,Data!$F$2:$F$1249,B53)</f>
        <v>8</v>
      </c>
      <c r="D53" s="12" t="n">
        <f aca="false">COUNTIFS(Data!$E$2:$E$1249,A53,Data!$F$2:$F$1249,B53,Data!$L$2:$L$1249,"Yes")</f>
        <v>1</v>
      </c>
      <c r="E53" s="16" t="n">
        <f aca="false">IFERROR(D53/C53,0)</f>
        <v>0.125</v>
      </c>
      <c r="F53" s="17" t="n">
        <f aca="false">D53+C53/1000+ROW()/10000000</f>
        <v>1.0080053</v>
      </c>
      <c r="G53" s="12"/>
      <c r="H53" s="12"/>
      <c r="I53" s="12"/>
      <c r="J53" s="12"/>
      <c r="K53" s="12"/>
    </row>
    <row r="54" customFormat="false" ht="15" hidden="false" customHeight="false" outlineLevel="0" collapsed="false">
      <c r="A54" s="12" t="s">
        <v>324</v>
      </c>
      <c r="B54" s="12" t="s">
        <v>325</v>
      </c>
      <c r="C54" s="12" t="n">
        <f aca="false">COUNTIFS(Data!$E$2:$E$1249,A54,Data!$F$2:$F$1249,B54)</f>
        <v>4</v>
      </c>
      <c r="D54" s="12" t="n">
        <f aca="false">COUNTIFS(Data!$E$2:$E$1249,A54,Data!$F$2:$F$1249,B54,Data!$L$2:$L$1249,"Yes")</f>
        <v>3</v>
      </c>
      <c r="E54" s="16" t="n">
        <f aca="false">IFERROR(D54/C54,0)</f>
        <v>0.75</v>
      </c>
      <c r="F54" s="17" t="n">
        <f aca="false">D54+C54/1000+ROW()/10000000</f>
        <v>3.0040054</v>
      </c>
      <c r="G54" s="12"/>
      <c r="H54" s="12"/>
      <c r="I54" s="12"/>
      <c r="J54" s="12"/>
      <c r="K54" s="12"/>
    </row>
    <row r="55" customFormat="false" ht="15" hidden="false" customHeight="false" outlineLevel="0" collapsed="false">
      <c r="A55" s="12" t="s">
        <v>495</v>
      </c>
      <c r="B55" s="12" t="s">
        <v>403</v>
      </c>
      <c r="C55" s="12" t="n">
        <f aca="false">COUNTIFS(Data!$E$2:$E$1249,A55,Data!$F$2:$F$1249,B55)</f>
        <v>9</v>
      </c>
      <c r="D55" s="12" t="n">
        <f aca="false">COUNTIFS(Data!$E$2:$E$1249,A55,Data!$F$2:$F$1249,B55,Data!$L$2:$L$1249,"Yes")</f>
        <v>1</v>
      </c>
      <c r="E55" s="16" t="n">
        <f aca="false">IFERROR(D55/C55,0)</f>
        <v>0.111111111111111</v>
      </c>
      <c r="F55" s="17" t="n">
        <f aca="false">D55+C55/1000+ROW()/10000000</f>
        <v>1.0090055</v>
      </c>
      <c r="G55" s="12"/>
      <c r="H55" s="12"/>
      <c r="I55" s="12"/>
      <c r="J55" s="12"/>
      <c r="K55" s="12"/>
    </row>
    <row r="56" customFormat="false" ht="15" hidden="false" customHeight="false" outlineLevel="0" collapsed="false">
      <c r="A56" s="12" t="s">
        <v>495</v>
      </c>
      <c r="B56" s="12" t="s">
        <v>364</v>
      </c>
      <c r="C56" s="12" t="n">
        <f aca="false">COUNTIFS(Data!$E$2:$E$1249,A56,Data!$F$2:$F$1249,B56)</f>
        <v>6</v>
      </c>
      <c r="D56" s="12" t="n">
        <f aca="false">COUNTIFS(Data!$E$2:$E$1249,A56,Data!$F$2:$F$1249,B56,Data!$L$2:$L$1249,"Yes")</f>
        <v>5</v>
      </c>
      <c r="E56" s="16" t="n">
        <f aca="false">IFERROR(D56/C56,0)</f>
        <v>0.833333333333333</v>
      </c>
      <c r="F56" s="17" t="n">
        <f aca="false">D56+C56/1000+ROW()/10000000</f>
        <v>5.0060056</v>
      </c>
      <c r="G56" s="12"/>
      <c r="H56" s="12"/>
      <c r="I56" s="12"/>
      <c r="J56" s="12"/>
      <c r="K56" s="12"/>
    </row>
    <row r="57" customFormat="false" ht="15" hidden="false" customHeight="false" outlineLevel="0" collapsed="false">
      <c r="A57" s="12" t="s">
        <v>107</v>
      </c>
      <c r="B57" s="12" t="s">
        <v>108</v>
      </c>
      <c r="C57" s="12" t="n">
        <f aca="false">COUNTIFS(Data!$E$2:$E$1249,A57,Data!$F$2:$F$1249,B57)</f>
        <v>8</v>
      </c>
      <c r="D57" s="12" t="n">
        <f aca="false">COUNTIFS(Data!$E$2:$E$1249,A57,Data!$F$2:$F$1249,B57,Data!$L$2:$L$1249,"Yes")</f>
        <v>2</v>
      </c>
      <c r="E57" s="16" t="n">
        <f aca="false">IFERROR(D57/C57,0)</f>
        <v>0.25</v>
      </c>
      <c r="F57" s="17" t="n">
        <f aca="false">D57+C57/1000+ROW()/10000000</f>
        <v>2.0080057</v>
      </c>
      <c r="G57" s="12"/>
      <c r="H57" s="12"/>
      <c r="I57" s="12"/>
      <c r="J57" s="12"/>
      <c r="K57" s="12"/>
    </row>
    <row r="58" customFormat="false" ht="15" hidden="false" customHeight="false" outlineLevel="0" collapsed="false">
      <c r="A58" s="12" t="s">
        <v>107</v>
      </c>
      <c r="B58" s="12" t="s">
        <v>62</v>
      </c>
      <c r="C58" s="12" t="n">
        <f aca="false">COUNTIFS(Data!$E$2:$E$1249,A58,Data!$F$2:$F$1249,B58)</f>
        <v>1</v>
      </c>
      <c r="D58" s="12" t="n">
        <f aca="false">COUNTIFS(Data!$E$2:$E$1249,A58,Data!$F$2:$F$1249,B58,Data!$L$2:$L$1249,"Yes")</f>
        <v>0</v>
      </c>
      <c r="E58" s="16" t="n">
        <f aca="false">IFERROR(D58/C58,0)</f>
        <v>0</v>
      </c>
      <c r="F58" s="17" t="n">
        <f aca="false">D58+C58/1000+ROW()/10000000</f>
        <v>0.0010058</v>
      </c>
      <c r="G58" s="12"/>
      <c r="H58" s="12"/>
      <c r="I58" s="12"/>
      <c r="J58" s="12"/>
      <c r="K58" s="12"/>
    </row>
    <row r="59" customFormat="false" ht="15" hidden="false" customHeight="false" outlineLevel="0" collapsed="false">
      <c r="A59" s="12" t="s">
        <v>107</v>
      </c>
      <c r="B59" s="12" t="s">
        <v>71</v>
      </c>
      <c r="C59" s="12" t="n">
        <f aca="false">COUNTIFS(Data!$E$2:$E$1249,A59,Data!$F$2:$F$1249,B59)</f>
        <v>1</v>
      </c>
      <c r="D59" s="12" t="n">
        <f aca="false">COUNTIFS(Data!$E$2:$E$1249,A59,Data!$F$2:$F$1249,B59,Data!$L$2:$L$1249,"Yes")</f>
        <v>1</v>
      </c>
      <c r="E59" s="16" t="n">
        <f aca="false">IFERROR(D59/C59,0)</f>
        <v>1</v>
      </c>
      <c r="F59" s="17" t="n">
        <f aca="false">D59+C59/1000+ROW()/10000000</f>
        <v>1.0010059</v>
      </c>
      <c r="G59" s="12"/>
      <c r="H59" s="12"/>
      <c r="I59" s="12"/>
      <c r="J59" s="12"/>
      <c r="K59" s="12"/>
    </row>
    <row r="60" customFormat="false" ht="15" hidden="false" customHeight="false" outlineLevel="0" collapsed="false">
      <c r="A60" s="12" t="s">
        <v>173</v>
      </c>
      <c r="B60" s="12" t="s">
        <v>131</v>
      </c>
      <c r="C60" s="12" t="n">
        <f aca="false">COUNTIFS(Data!$E$2:$E$1249,A60,Data!$F$2:$F$1249,B60)</f>
        <v>8</v>
      </c>
      <c r="D60" s="12" t="n">
        <f aca="false">COUNTIFS(Data!$E$2:$E$1249,A60,Data!$F$2:$F$1249,B60,Data!$L$2:$L$1249,"Yes")</f>
        <v>2</v>
      </c>
      <c r="E60" s="16" t="n">
        <f aca="false">IFERROR(D60/C60,0)</f>
        <v>0.25</v>
      </c>
      <c r="F60" s="17" t="n">
        <f aca="false">D60+C60/1000+ROW()/10000000</f>
        <v>2.008006</v>
      </c>
      <c r="G60" s="12"/>
      <c r="H60" s="12"/>
      <c r="I60" s="12"/>
      <c r="J60" s="12"/>
      <c r="K60" s="12"/>
    </row>
    <row r="61" customFormat="false" ht="15" hidden="false" customHeight="false" outlineLevel="0" collapsed="false">
      <c r="A61" s="12" t="s">
        <v>173</v>
      </c>
      <c r="B61" s="12" t="s">
        <v>214</v>
      </c>
      <c r="C61" s="12" t="n">
        <f aca="false">COUNTIFS(Data!$E$2:$E$1249,A61,Data!$F$2:$F$1249,B61)</f>
        <v>9</v>
      </c>
      <c r="D61" s="12" t="n">
        <f aca="false">COUNTIFS(Data!$E$2:$E$1249,A61,Data!$F$2:$F$1249,B61,Data!$L$2:$L$1249,"Yes")</f>
        <v>3</v>
      </c>
      <c r="E61" s="16" t="n">
        <f aca="false">IFERROR(D61/C61,0)</f>
        <v>0.333333333333333</v>
      </c>
      <c r="F61" s="17" t="n">
        <f aca="false">D61+C61/1000+ROW()/10000000</f>
        <v>3.0090061</v>
      </c>
      <c r="G61" s="12"/>
      <c r="H61" s="12"/>
      <c r="I61" s="12"/>
      <c r="J61" s="12"/>
      <c r="K61" s="12"/>
    </row>
    <row r="62" customFormat="false" ht="15" hidden="false" customHeight="false" outlineLevel="0" collapsed="false">
      <c r="A62" s="12" t="s">
        <v>173</v>
      </c>
      <c r="B62" s="12" t="s">
        <v>114</v>
      </c>
      <c r="C62" s="12" t="n">
        <f aca="false">COUNTIFS(Data!$E$2:$E$1249,A62,Data!$F$2:$F$1249,B62)</f>
        <v>6</v>
      </c>
      <c r="D62" s="12" t="n">
        <f aca="false">COUNTIFS(Data!$E$2:$E$1249,A62,Data!$F$2:$F$1249,B62,Data!$L$2:$L$1249,"Yes")</f>
        <v>6</v>
      </c>
      <c r="E62" s="16" t="n">
        <f aca="false">IFERROR(D62/C62,0)</f>
        <v>1</v>
      </c>
      <c r="F62" s="17" t="n">
        <f aca="false">D62+C62/1000+ROW()/10000000</f>
        <v>6.0060062</v>
      </c>
      <c r="G62" s="12"/>
      <c r="H62" s="12"/>
      <c r="I62" s="12"/>
      <c r="J62" s="12"/>
      <c r="K62" s="12"/>
    </row>
    <row r="63" customFormat="false" ht="15" hidden="false" customHeight="false" outlineLevel="0" collapsed="false">
      <c r="A63" s="12" t="s">
        <v>110</v>
      </c>
      <c r="B63" s="12" t="s">
        <v>71</v>
      </c>
      <c r="C63" s="12" t="n">
        <f aca="false">COUNTIFS(Data!$E$2:$E$1249,A63,Data!$F$2:$F$1249,B63)</f>
        <v>4</v>
      </c>
      <c r="D63" s="12" t="n">
        <f aca="false">COUNTIFS(Data!$E$2:$E$1249,A63,Data!$F$2:$F$1249,B63,Data!$L$2:$L$1249,"Yes")</f>
        <v>3</v>
      </c>
      <c r="E63" s="16" t="n">
        <f aca="false">IFERROR(D63/C63,0)</f>
        <v>0.75</v>
      </c>
      <c r="F63" s="17" t="n">
        <f aca="false">D63+C63/1000+ROW()/10000000</f>
        <v>3.0040063</v>
      </c>
      <c r="G63" s="12"/>
      <c r="H63" s="12"/>
      <c r="I63" s="12"/>
      <c r="J63" s="12"/>
      <c r="K63" s="12"/>
    </row>
    <row r="64" customFormat="false" ht="15" hidden="false" customHeight="false" outlineLevel="0" collapsed="false">
      <c r="A64" s="12" t="s">
        <v>110</v>
      </c>
      <c r="B64" s="12" t="s">
        <v>322</v>
      </c>
      <c r="C64" s="12" t="n">
        <f aca="false">COUNTIFS(Data!$E$2:$E$1249,A64,Data!$F$2:$F$1249,B64)</f>
        <v>12</v>
      </c>
      <c r="D64" s="12" t="n">
        <f aca="false">COUNTIFS(Data!$E$2:$E$1249,A64,Data!$F$2:$F$1249,B64,Data!$L$2:$L$1249,"Yes")</f>
        <v>2</v>
      </c>
      <c r="E64" s="16" t="n">
        <f aca="false">IFERROR(D64/C64,0)</f>
        <v>0.166666666666667</v>
      </c>
      <c r="F64" s="17" t="n">
        <f aca="false">D64+C64/1000+ROW()/10000000</f>
        <v>2.0120064</v>
      </c>
      <c r="G64" s="12"/>
      <c r="H64" s="12"/>
      <c r="I64" s="12"/>
      <c r="J64" s="12"/>
      <c r="K64" s="12"/>
    </row>
    <row r="65" customFormat="false" ht="15" hidden="false" customHeight="false" outlineLevel="0" collapsed="false">
      <c r="A65" s="12" t="s">
        <v>268</v>
      </c>
      <c r="B65" s="12" t="s">
        <v>364</v>
      </c>
      <c r="C65" s="12" t="n">
        <f aca="false">COUNTIFS(Data!$E$2:$E$1249,A65,Data!$F$2:$F$1249,B65)</f>
        <v>11</v>
      </c>
      <c r="D65" s="12" t="n">
        <f aca="false">COUNTIFS(Data!$E$2:$E$1249,A65,Data!$F$2:$F$1249,B65,Data!$L$2:$L$1249,"Yes")</f>
        <v>9</v>
      </c>
      <c r="E65" s="16" t="n">
        <f aca="false">IFERROR(D65/C65,0)</f>
        <v>0.818181818181818</v>
      </c>
      <c r="F65" s="17" t="n">
        <f aca="false">D65+C65/1000+ROW()/10000000</f>
        <v>9.0110065</v>
      </c>
      <c r="G65" s="12"/>
      <c r="H65" s="12"/>
      <c r="I65" s="12"/>
      <c r="J65" s="12"/>
      <c r="K65" s="12"/>
    </row>
    <row r="66" customFormat="false" ht="15" hidden="false" customHeight="false" outlineLevel="0" collapsed="false">
      <c r="A66" s="12" t="s">
        <v>268</v>
      </c>
      <c r="B66" s="12" t="s">
        <v>269</v>
      </c>
      <c r="C66" s="12" t="n">
        <f aca="false">COUNTIFS(Data!$E$2:$E$1249,A66,Data!$F$2:$F$1249,B66)</f>
        <v>17</v>
      </c>
      <c r="D66" s="12" t="n">
        <f aca="false">COUNTIFS(Data!$E$2:$E$1249,A66,Data!$F$2:$F$1249,B66,Data!$L$2:$L$1249,"Yes")</f>
        <v>5</v>
      </c>
      <c r="E66" s="16" t="n">
        <f aca="false">IFERROR(D66/C66,0)</f>
        <v>0.294117647058824</v>
      </c>
      <c r="F66" s="17" t="n">
        <f aca="false">D66+C66/1000+ROW()/10000000</f>
        <v>5.0170066</v>
      </c>
      <c r="G66" s="12"/>
      <c r="H66" s="12"/>
      <c r="I66" s="12"/>
      <c r="J66" s="12"/>
      <c r="K66" s="12"/>
    </row>
    <row r="67" customFormat="false" ht="15" hidden="false" customHeight="false" outlineLevel="0" collapsed="false">
      <c r="A67" s="12" t="s">
        <v>268</v>
      </c>
      <c r="B67" s="12" t="s">
        <v>274</v>
      </c>
      <c r="C67" s="12" t="n">
        <f aca="false">COUNTIFS(Data!$E$2:$E$1249,A67,Data!$F$2:$F$1249,B67)</f>
        <v>8</v>
      </c>
      <c r="D67" s="12" t="n">
        <f aca="false">COUNTIFS(Data!$E$2:$E$1249,A67,Data!$F$2:$F$1249,B67,Data!$L$2:$L$1249,"Yes")</f>
        <v>2</v>
      </c>
      <c r="E67" s="16" t="n">
        <f aca="false">IFERROR(D67/C67,0)</f>
        <v>0.25</v>
      </c>
      <c r="F67" s="17" t="n">
        <f aca="false">D67+C67/1000+ROW()/10000000</f>
        <v>2.0080067</v>
      </c>
      <c r="G67" s="12"/>
      <c r="H67" s="12"/>
      <c r="I67" s="12"/>
      <c r="J67" s="12"/>
      <c r="K67" s="12"/>
    </row>
    <row r="68" customFormat="false" ht="15" hidden="false" customHeight="false" outlineLevel="0" collapsed="false">
      <c r="A68" s="12" t="s">
        <v>83</v>
      </c>
      <c r="B68" s="12" t="s">
        <v>379</v>
      </c>
      <c r="C68" s="12" t="n">
        <f aca="false">COUNTIFS(Data!$E$2:$E$1249,A68,Data!$F$2:$F$1249,B68)</f>
        <v>1</v>
      </c>
      <c r="D68" s="12" t="n">
        <f aca="false">COUNTIFS(Data!$E$2:$E$1249,A68,Data!$F$2:$F$1249,B68,Data!$L$2:$L$1249,"Yes")</f>
        <v>1</v>
      </c>
      <c r="E68" s="16" t="n">
        <f aca="false">IFERROR(D68/C68,0)</f>
        <v>1</v>
      </c>
      <c r="F68" s="17" t="n">
        <f aca="false">D68+C68/1000+ROW()/10000000</f>
        <v>1.0010068</v>
      </c>
      <c r="G68" s="12"/>
      <c r="H68" s="12"/>
      <c r="I68" s="12"/>
      <c r="J68" s="12"/>
      <c r="K68" s="12"/>
    </row>
    <row r="69" customFormat="false" ht="15" hidden="false" customHeight="false" outlineLevel="0" collapsed="false">
      <c r="A69" s="12" t="s">
        <v>83</v>
      </c>
      <c r="B69" s="12" t="s">
        <v>45</v>
      </c>
      <c r="C69" s="12" t="n">
        <f aca="false">COUNTIFS(Data!$E$2:$E$1249,A69,Data!$F$2:$F$1249,B69)</f>
        <v>2</v>
      </c>
      <c r="D69" s="12" t="n">
        <f aca="false">COUNTIFS(Data!$E$2:$E$1249,A69,Data!$F$2:$F$1249,B69,Data!$L$2:$L$1249,"Yes")</f>
        <v>0</v>
      </c>
      <c r="E69" s="16" t="n">
        <f aca="false">IFERROR(D69/C69,0)</f>
        <v>0</v>
      </c>
      <c r="F69" s="17" t="n">
        <f aca="false">D69+C69/1000+ROW()/10000000</f>
        <v>0.0020069</v>
      </c>
      <c r="G69" s="12"/>
      <c r="H69" s="12"/>
      <c r="I69" s="12"/>
      <c r="J69" s="12"/>
      <c r="K69" s="12"/>
    </row>
    <row r="70" customFormat="false" ht="15" hidden="false" customHeight="false" outlineLevel="0" collapsed="false">
      <c r="A70" s="12" t="s">
        <v>313</v>
      </c>
      <c r="B70" s="12" t="s">
        <v>62</v>
      </c>
      <c r="C70" s="12" t="n">
        <f aca="false">COUNTIFS(Data!$E$2:$E$1249,A70,Data!$F$2:$F$1249,B70)</f>
        <v>3</v>
      </c>
      <c r="D70" s="12" t="n">
        <f aca="false">COUNTIFS(Data!$E$2:$E$1249,A70,Data!$F$2:$F$1249,B70,Data!$L$2:$L$1249,"Yes")</f>
        <v>1</v>
      </c>
      <c r="E70" s="16" t="n">
        <f aca="false">IFERROR(D70/C70,0)</f>
        <v>0.333333333333333</v>
      </c>
      <c r="F70" s="17" t="n">
        <f aca="false">D70+C70/1000+ROW()/10000000</f>
        <v>1.003007</v>
      </c>
      <c r="G70" s="12"/>
      <c r="H70" s="12"/>
      <c r="I70" s="12"/>
      <c r="J70" s="12"/>
      <c r="K70" s="12"/>
    </row>
    <row r="71" customFormat="false" ht="15" hidden="false" customHeight="false" outlineLevel="0" collapsed="false">
      <c r="A71" s="12" t="s">
        <v>313</v>
      </c>
      <c r="B71" s="12" t="s">
        <v>142</v>
      </c>
      <c r="C71" s="12" t="n">
        <f aca="false">COUNTIFS(Data!$E$2:$E$1249,A71,Data!$F$2:$F$1249,B71)</f>
        <v>3</v>
      </c>
      <c r="D71" s="12" t="n">
        <f aca="false">COUNTIFS(Data!$E$2:$E$1249,A71,Data!$F$2:$F$1249,B71,Data!$L$2:$L$1249,"Yes")</f>
        <v>1</v>
      </c>
      <c r="E71" s="16" t="n">
        <f aca="false">IFERROR(D71/C71,0)</f>
        <v>0.333333333333333</v>
      </c>
      <c r="F71" s="17" t="n">
        <f aca="false">D71+C71/1000+ROW()/10000000</f>
        <v>1.0030071</v>
      </c>
      <c r="G71" s="12"/>
      <c r="H71" s="12"/>
      <c r="I71" s="12"/>
      <c r="J71" s="12"/>
      <c r="K71" s="12"/>
    </row>
    <row r="72" customFormat="false" ht="15" hidden="false" customHeight="false" outlineLevel="0" collapsed="false">
      <c r="A72" s="12" t="s">
        <v>313</v>
      </c>
      <c r="B72" s="12" t="s">
        <v>325</v>
      </c>
      <c r="C72" s="12" t="n">
        <f aca="false">COUNTIFS(Data!$E$2:$E$1249,A72,Data!$F$2:$F$1249,B72)</f>
        <v>1</v>
      </c>
      <c r="D72" s="12" t="n">
        <f aca="false">COUNTIFS(Data!$E$2:$E$1249,A72,Data!$F$2:$F$1249,B72,Data!$L$2:$L$1249,"Yes")</f>
        <v>0</v>
      </c>
      <c r="E72" s="16" t="n">
        <f aca="false">IFERROR(D72/C72,0)</f>
        <v>0</v>
      </c>
      <c r="F72" s="17" t="n">
        <f aca="false">D72+C72/1000+ROW()/10000000</f>
        <v>0.0010072</v>
      </c>
      <c r="G72" s="12"/>
      <c r="H72" s="12"/>
      <c r="I72" s="12"/>
      <c r="J72" s="12"/>
      <c r="K72" s="12"/>
    </row>
    <row r="73" customFormat="false" ht="15" hidden="false" customHeight="false" outlineLevel="0" collapsed="false">
      <c r="A73" s="12" t="s">
        <v>121</v>
      </c>
      <c r="B73" s="12" t="s">
        <v>45</v>
      </c>
      <c r="C73" s="12" t="n">
        <f aca="false">COUNTIFS(Data!$E$2:$E$1249,A73,Data!$F$2:$F$1249,B73)</f>
        <v>13</v>
      </c>
      <c r="D73" s="12" t="n">
        <f aca="false">COUNTIFS(Data!$E$2:$E$1249,A73,Data!$F$2:$F$1249,B73,Data!$L$2:$L$1249,"Yes")</f>
        <v>2</v>
      </c>
      <c r="E73" s="16" t="n">
        <f aca="false">IFERROR(D73/C73,0)</f>
        <v>0.153846153846154</v>
      </c>
      <c r="F73" s="17" t="n">
        <f aca="false">D73+C73/1000+ROW()/10000000</f>
        <v>2.0130073</v>
      </c>
      <c r="G73" s="12"/>
      <c r="H73" s="12"/>
      <c r="I73" s="12"/>
      <c r="J73" s="12"/>
      <c r="K73" s="12"/>
    </row>
    <row r="74" customFormat="false" ht="15" hidden="false" customHeight="false" outlineLevel="0" collapsed="false">
      <c r="A74" s="12" t="s">
        <v>121</v>
      </c>
      <c r="B74" s="12" t="s">
        <v>565</v>
      </c>
      <c r="C74" s="12" t="n">
        <f aca="false">COUNTIFS(Data!$E$2:$E$1249,A74,Data!$F$2:$F$1249,B74)</f>
        <v>7</v>
      </c>
      <c r="D74" s="12" t="n">
        <f aca="false">COUNTIFS(Data!$E$2:$E$1249,A74,Data!$F$2:$F$1249,B74,Data!$L$2:$L$1249,"Yes")</f>
        <v>2</v>
      </c>
      <c r="E74" s="16" t="n">
        <f aca="false">IFERROR(D74/C74,0)</f>
        <v>0.285714285714286</v>
      </c>
      <c r="F74" s="17" t="n">
        <f aca="false">D74+C74/1000+ROW()/10000000</f>
        <v>2.0070074</v>
      </c>
      <c r="G74" s="12"/>
      <c r="H74" s="12"/>
      <c r="I74" s="12"/>
      <c r="J74" s="12"/>
      <c r="K74" s="12"/>
    </row>
    <row r="75" customFormat="false" ht="15" hidden="false" customHeight="false" outlineLevel="0" collapsed="false">
      <c r="A75" s="12" t="s">
        <v>56</v>
      </c>
      <c r="B75" s="12" t="s">
        <v>57</v>
      </c>
      <c r="C75" s="12" t="n">
        <f aca="false">COUNTIFS(Data!$E$2:$E$1249,A75,Data!$F$2:$F$1249,B75)</f>
        <v>7</v>
      </c>
      <c r="D75" s="12" t="n">
        <f aca="false">COUNTIFS(Data!$E$2:$E$1249,A75,Data!$F$2:$F$1249,B75,Data!$L$2:$L$1249,"Yes")</f>
        <v>4</v>
      </c>
      <c r="E75" s="16" t="n">
        <f aca="false">IFERROR(D75/C75,0)</f>
        <v>0.571428571428571</v>
      </c>
      <c r="F75" s="17" t="n">
        <f aca="false">D75+C75/1000+ROW()/10000000</f>
        <v>4.0070075</v>
      </c>
      <c r="G75" s="12"/>
      <c r="H75" s="12"/>
      <c r="I75" s="12"/>
      <c r="J75" s="12"/>
      <c r="K75" s="12"/>
    </row>
    <row r="76" customFormat="false" ht="15" hidden="false" customHeight="false" outlineLevel="0" collapsed="false">
      <c r="A76" s="12" t="s">
        <v>56</v>
      </c>
      <c r="B76" s="12" t="s">
        <v>100</v>
      </c>
      <c r="C76" s="12" t="n">
        <f aca="false">COUNTIFS(Data!$E$2:$E$1249,A76,Data!$F$2:$F$1249,B76)</f>
        <v>11</v>
      </c>
      <c r="D76" s="12" t="n">
        <f aca="false">COUNTIFS(Data!$E$2:$E$1249,A76,Data!$F$2:$F$1249,B76,Data!$L$2:$L$1249,"Yes")</f>
        <v>0</v>
      </c>
      <c r="E76" s="16" t="n">
        <f aca="false">IFERROR(D76/C76,0)</f>
        <v>0</v>
      </c>
      <c r="F76" s="17" t="n">
        <f aca="false">D76+C76/1000+ROW()/10000000</f>
        <v>0.0110076</v>
      </c>
      <c r="G76" s="12"/>
      <c r="H76" s="12"/>
      <c r="I76" s="12"/>
      <c r="J76" s="12"/>
      <c r="K76" s="12"/>
    </row>
    <row r="77" customFormat="false" ht="15" hidden="false" customHeight="false" outlineLevel="0" collapsed="false">
      <c r="A77" s="12" t="s">
        <v>332</v>
      </c>
      <c r="B77" s="12" t="s">
        <v>45</v>
      </c>
      <c r="C77" s="12" t="n">
        <f aca="false">COUNTIFS(Data!$E$2:$E$1249,A77,Data!$F$2:$F$1249,B77)</f>
        <v>5</v>
      </c>
      <c r="D77" s="12" t="n">
        <f aca="false">COUNTIFS(Data!$E$2:$E$1249,A77,Data!$F$2:$F$1249,B77,Data!$L$2:$L$1249,"Yes")</f>
        <v>0</v>
      </c>
      <c r="E77" s="16" t="n">
        <f aca="false">IFERROR(D77/C77,0)</f>
        <v>0</v>
      </c>
      <c r="F77" s="17" t="n">
        <f aca="false">D77+C77/1000+ROW()/10000000</f>
        <v>0.0050077</v>
      </c>
      <c r="G77" s="12"/>
      <c r="H77" s="12"/>
      <c r="I77" s="12"/>
      <c r="J77" s="12"/>
      <c r="K77" s="12"/>
    </row>
    <row r="78" customFormat="false" ht="15" hidden="false" customHeight="false" outlineLevel="0" collapsed="false">
      <c r="A78" s="12" t="s">
        <v>332</v>
      </c>
      <c r="B78" s="12" t="s">
        <v>333</v>
      </c>
      <c r="C78" s="12" t="n">
        <f aca="false">COUNTIFS(Data!$E$2:$E$1249,A78,Data!$F$2:$F$1249,B78)</f>
        <v>6</v>
      </c>
      <c r="D78" s="12" t="n">
        <f aca="false">COUNTIFS(Data!$E$2:$E$1249,A78,Data!$F$2:$F$1249,B78,Data!$L$2:$L$1249,"Yes")</f>
        <v>1</v>
      </c>
      <c r="E78" s="16" t="n">
        <f aca="false">IFERROR(D78/C78,0)</f>
        <v>0.166666666666667</v>
      </c>
      <c r="F78" s="17" t="n">
        <f aca="false">D78+C78/1000+ROW()/10000000</f>
        <v>1.0060078</v>
      </c>
      <c r="G78" s="12"/>
      <c r="H78" s="12"/>
      <c r="I78" s="12"/>
      <c r="J78" s="12"/>
      <c r="K78" s="12"/>
    </row>
    <row r="79" customFormat="false" ht="15" hidden="false" customHeight="false" outlineLevel="0" collapsed="false">
      <c r="A79" s="12" t="s">
        <v>118</v>
      </c>
      <c r="B79" s="12" t="s">
        <v>45</v>
      </c>
      <c r="C79" s="12" t="n">
        <f aca="false">COUNTIFS(Data!$E$2:$E$1249,A79,Data!$F$2:$F$1249,B79)</f>
        <v>7</v>
      </c>
      <c r="D79" s="12" t="n">
        <f aca="false">COUNTIFS(Data!$E$2:$E$1249,A79,Data!$F$2:$F$1249,B79,Data!$L$2:$L$1249,"Yes")</f>
        <v>0</v>
      </c>
      <c r="E79" s="16" t="n">
        <f aca="false">IFERROR(D79/C79,0)</f>
        <v>0</v>
      </c>
      <c r="F79" s="17" t="n">
        <f aca="false">D79+C79/1000+ROW()/10000000</f>
        <v>0.0070079</v>
      </c>
      <c r="G79" s="12"/>
      <c r="H79" s="12"/>
      <c r="I79" s="12"/>
      <c r="J79" s="12"/>
      <c r="K79" s="12"/>
    </row>
    <row r="80" customFormat="false" ht="15" hidden="false" customHeight="false" outlineLevel="0" collapsed="false">
      <c r="A80" s="12" t="s">
        <v>118</v>
      </c>
      <c r="B80" s="12" t="s">
        <v>192</v>
      </c>
      <c r="C80" s="12" t="n">
        <f aca="false">COUNTIFS(Data!$E$2:$E$1249,A80,Data!$F$2:$F$1249,B80)</f>
        <v>7</v>
      </c>
      <c r="D80" s="12" t="n">
        <f aca="false">COUNTIFS(Data!$E$2:$E$1249,A80,Data!$F$2:$F$1249,B80,Data!$L$2:$L$1249,"Yes")</f>
        <v>6</v>
      </c>
      <c r="E80" s="16" t="n">
        <f aca="false">IFERROR(D80/C80,0)</f>
        <v>0.857142857142857</v>
      </c>
      <c r="F80" s="17" t="n">
        <f aca="false">D80+C80/1000+ROW()/10000000</f>
        <v>6.007008</v>
      </c>
      <c r="G80" s="12"/>
      <c r="H80" s="12"/>
      <c r="I80" s="12"/>
      <c r="J80" s="12"/>
      <c r="K80" s="12"/>
    </row>
    <row r="81" customFormat="false" ht="15" hidden="false" customHeight="false" outlineLevel="0" collapsed="false">
      <c r="A81" s="12" t="s">
        <v>96</v>
      </c>
      <c r="B81" s="12" t="s">
        <v>62</v>
      </c>
      <c r="C81" s="12" t="n">
        <f aca="false">COUNTIFS(Data!$E$2:$E$1249,A81,Data!$F$2:$F$1249,B81)</f>
        <v>1</v>
      </c>
      <c r="D81" s="12" t="n">
        <f aca="false">COUNTIFS(Data!$E$2:$E$1249,A81,Data!$F$2:$F$1249,B81,Data!$L$2:$L$1249,"Yes")</f>
        <v>1</v>
      </c>
      <c r="E81" s="16" t="n">
        <f aca="false">IFERROR(D81/C81,0)</f>
        <v>1</v>
      </c>
      <c r="F81" s="17" t="n">
        <f aca="false">D81+C81/1000+ROW()/10000000</f>
        <v>1.0010081</v>
      </c>
      <c r="G81" s="12"/>
      <c r="H81" s="12"/>
      <c r="I81" s="12"/>
      <c r="J81" s="12"/>
      <c r="K81" s="12"/>
    </row>
    <row r="82" customFormat="false" ht="15" hidden="false" customHeight="false" outlineLevel="0" collapsed="false">
      <c r="A82" s="12" t="s">
        <v>96</v>
      </c>
      <c r="B82" s="12" t="s">
        <v>97</v>
      </c>
      <c r="C82" s="12" t="n">
        <f aca="false">COUNTIFS(Data!$E$2:$E$1249,A82,Data!$F$2:$F$1249,B82)</f>
        <v>8</v>
      </c>
      <c r="D82" s="12" t="n">
        <f aca="false">COUNTIFS(Data!$E$2:$E$1249,A82,Data!$F$2:$F$1249,B82,Data!$L$2:$L$1249,"Yes")</f>
        <v>4</v>
      </c>
      <c r="E82" s="16" t="n">
        <f aca="false">IFERROR(D82/C82,0)</f>
        <v>0.5</v>
      </c>
      <c r="F82" s="17" t="n">
        <f aca="false">D82+C82/1000+ROW()/10000000</f>
        <v>4.0080082</v>
      </c>
      <c r="G82" s="12"/>
      <c r="H82" s="12"/>
      <c r="I82" s="12"/>
      <c r="J82" s="12"/>
      <c r="K82" s="12"/>
    </row>
    <row r="83" customFormat="false" ht="15" hidden="false" customHeight="false" outlineLevel="0" collapsed="false">
      <c r="A83" s="12" t="s">
        <v>239</v>
      </c>
      <c r="B83" s="12" t="s">
        <v>62</v>
      </c>
      <c r="C83" s="12" t="n">
        <f aca="false">COUNTIFS(Data!$E$2:$E$1249,A83,Data!$F$2:$F$1249,B83)</f>
        <v>10</v>
      </c>
      <c r="D83" s="12" t="n">
        <f aca="false">COUNTIFS(Data!$E$2:$E$1249,A83,Data!$F$2:$F$1249,B83,Data!$L$2:$L$1249,"Yes")</f>
        <v>0</v>
      </c>
      <c r="E83" s="16" t="n">
        <f aca="false">IFERROR(D83/C83,0)</f>
        <v>0</v>
      </c>
      <c r="F83" s="17" t="n">
        <f aca="false">D83+C83/1000+ROW()/10000000</f>
        <v>0.0100083</v>
      </c>
      <c r="G83" s="12"/>
      <c r="H83" s="12"/>
      <c r="I83" s="12"/>
      <c r="J83" s="12"/>
      <c r="K83" s="12"/>
    </row>
    <row r="84" customFormat="false" ht="15" hidden="false" customHeight="false" outlineLevel="0" collapsed="false">
      <c r="A84" s="12" t="s">
        <v>239</v>
      </c>
      <c r="B84" s="12" t="s">
        <v>249</v>
      </c>
      <c r="C84" s="12" t="n">
        <f aca="false">COUNTIFS(Data!$E$2:$E$1249,A84,Data!$F$2:$F$1249,B84)</f>
        <v>7</v>
      </c>
      <c r="D84" s="12" t="n">
        <f aca="false">COUNTIFS(Data!$E$2:$E$1249,A84,Data!$F$2:$F$1249,B84,Data!$L$2:$L$1249,"Yes")</f>
        <v>0</v>
      </c>
      <c r="E84" s="16" t="n">
        <f aca="false">IFERROR(D84/C84,0)</f>
        <v>0</v>
      </c>
      <c r="F84" s="17" t="n">
        <f aca="false">D84+C84/1000+ROW()/10000000</f>
        <v>0.0070084</v>
      </c>
      <c r="G84" s="12"/>
      <c r="H84" s="12"/>
      <c r="I84" s="12"/>
      <c r="J84" s="12"/>
      <c r="K84" s="12"/>
    </row>
    <row r="85" customFormat="false" ht="15" hidden="false" customHeight="false" outlineLevel="0" collapsed="false">
      <c r="A85" s="12" t="s">
        <v>51</v>
      </c>
      <c r="B85" s="12" t="s">
        <v>145</v>
      </c>
      <c r="C85" s="12" t="n">
        <f aca="false">COUNTIFS(Data!$E$2:$E$1249,A85,Data!$F$2:$F$1249,B85)</f>
        <v>9</v>
      </c>
      <c r="D85" s="12" t="n">
        <f aca="false">COUNTIFS(Data!$E$2:$E$1249,A85,Data!$F$2:$F$1249,B85,Data!$L$2:$L$1249,"Yes")</f>
        <v>6</v>
      </c>
      <c r="E85" s="16" t="n">
        <f aca="false">IFERROR(D85/C85,0)</f>
        <v>0.666666666666667</v>
      </c>
      <c r="F85" s="17" t="n">
        <f aca="false">D85+C85/1000+ROW()/10000000</f>
        <v>6.0090085</v>
      </c>
      <c r="G85" s="12"/>
      <c r="H85" s="12"/>
      <c r="I85" s="12"/>
      <c r="J85" s="12"/>
      <c r="K85" s="12"/>
    </row>
    <row r="86" customFormat="false" ht="15" hidden="false" customHeight="false" outlineLevel="0" collapsed="false">
      <c r="A86" s="12" t="s">
        <v>51</v>
      </c>
      <c r="B86" s="12" t="s">
        <v>52</v>
      </c>
      <c r="C86" s="12" t="n">
        <f aca="false">COUNTIFS(Data!$E$2:$E$1249,A86,Data!$F$2:$F$1249,B86)</f>
        <v>4</v>
      </c>
      <c r="D86" s="12" t="n">
        <f aca="false">COUNTIFS(Data!$E$2:$E$1249,A86,Data!$F$2:$F$1249,B86,Data!$L$2:$L$1249,"Yes")</f>
        <v>1</v>
      </c>
      <c r="E86" s="16" t="n">
        <f aca="false">IFERROR(D86/C86,0)</f>
        <v>0.25</v>
      </c>
      <c r="F86" s="17" t="n">
        <f aca="false">D86+C86/1000+ROW()/10000000</f>
        <v>1.0040086</v>
      </c>
      <c r="G86" s="12"/>
      <c r="H86" s="12"/>
      <c r="I86" s="12"/>
      <c r="J86" s="12"/>
      <c r="K86" s="12"/>
    </row>
    <row r="87" customFormat="false" ht="15" hidden="false" customHeight="false" outlineLevel="0" collapsed="false">
      <c r="A87" s="12" t="s">
        <v>261</v>
      </c>
      <c r="B87" s="12" t="s">
        <v>221</v>
      </c>
      <c r="C87" s="12" t="n">
        <f aca="false">COUNTIFS(Data!$E$2:$E$1249,A87,Data!$F$2:$F$1249,B87)</f>
        <v>9</v>
      </c>
      <c r="D87" s="12" t="n">
        <f aca="false">COUNTIFS(Data!$E$2:$E$1249,A87,Data!$F$2:$F$1249,B87,Data!$L$2:$L$1249,"Yes")</f>
        <v>6</v>
      </c>
      <c r="E87" s="16" t="n">
        <f aca="false">IFERROR(D87/C87,0)</f>
        <v>0.666666666666667</v>
      </c>
      <c r="F87" s="17" t="n">
        <f aca="false">D87+C87/1000+ROW()/10000000</f>
        <v>6.0090087</v>
      </c>
      <c r="G87" s="12"/>
      <c r="H87" s="12"/>
      <c r="I87" s="12"/>
      <c r="J87" s="12"/>
      <c r="K87" s="12"/>
    </row>
    <row r="88" customFormat="false" ht="15" hidden="false" customHeight="false" outlineLevel="0" collapsed="false">
      <c r="A88" s="12" t="s">
        <v>261</v>
      </c>
      <c r="B88" s="12" t="s">
        <v>45</v>
      </c>
      <c r="C88" s="12" t="n">
        <f aca="false">COUNTIFS(Data!$E$2:$E$1249,A88,Data!$F$2:$F$1249,B88)</f>
        <v>7</v>
      </c>
      <c r="D88" s="12" t="n">
        <f aca="false">COUNTIFS(Data!$E$2:$E$1249,A88,Data!$F$2:$F$1249,B88,Data!$L$2:$L$1249,"Yes")</f>
        <v>1</v>
      </c>
      <c r="E88" s="16" t="n">
        <f aca="false">IFERROR(D88/C88,0)</f>
        <v>0.142857142857143</v>
      </c>
      <c r="F88" s="17" t="n">
        <f aca="false">D88+C88/1000+ROW()/10000000</f>
        <v>1.0070088</v>
      </c>
      <c r="G88" s="12"/>
      <c r="H88" s="12"/>
      <c r="I88" s="12"/>
      <c r="J88" s="12"/>
      <c r="K88" s="12"/>
    </row>
    <row r="89" customFormat="false" ht="15" hidden="false" customHeight="false" outlineLevel="0" collapsed="false">
      <c r="A89" s="12" t="s">
        <v>156</v>
      </c>
      <c r="B89" s="12" t="s">
        <v>221</v>
      </c>
      <c r="C89" s="12" t="n">
        <f aca="false">COUNTIFS(Data!$E$2:$E$1249,A89,Data!$F$2:$F$1249,B89)</f>
        <v>4</v>
      </c>
      <c r="D89" s="12" t="n">
        <f aca="false">COUNTIFS(Data!$E$2:$E$1249,A89,Data!$F$2:$F$1249,B89,Data!$L$2:$L$1249,"Yes")</f>
        <v>1</v>
      </c>
      <c r="E89" s="16" t="n">
        <f aca="false">IFERROR(D89/C89,0)</f>
        <v>0.25</v>
      </c>
      <c r="F89" s="17" t="n">
        <f aca="false">D89+C89/1000+ROW()/10000000</f>
        <v>1.0040089</v>
      </c>
      <c r="G89" s="12"/>
      <c r="H89" s="12"/>
      <c r="I89" s="12"/>
      <c r="J89" s="12"/>
      <c r="K89" s="12"/>
    </row>
    <row r="90" customFormat="false" ht="15" hidden="false" customHeight="false" outlineLevel="0" collapsed="false">
      <c r="A90" s="12" t="s">
        <v>156</v>
      </c>
      <c r="B90" s="12" t="s">
        <v>93</v>
      </c>
      <c r="C90" s="12" t="n">
        <f aca="false">COUNTIFS(Data!$E$2:$E$1249,A90,Data!$F$2:$F$1249,B90)</f>
        <v>7</v>
      </c>
      <c r="D90" s="12" t="n">
        <f aca="false">COUNTIFS(Data!$E$2:$E$1249,A90,Data!$F$2:$F$1249,B90,Data!$L$2:$L$1249,"Yes")</f>
        <v>2</v>
      </c>
      <c r="E90" s="16" t="n">
        <f aca="false">IFERROR(D90/C90,0)</f>
        <v>0.285714285714286</v>
      </c>
      <c r="F90" s="17" t="n">
        <f aca="false">D90+C90/1000+ROW()/10000000</f>
        <v>2.007009</v>
      </c>
      <c r="G90" s="12"/>
      <c r="H90" s="12"/>
      <c r="I90" s="12"/>
      <c r="J90" s="12"/>
      <c r="K90" s="12"/>
    </row>
    <row r="91" customFormat="false" ht="15" hidden="false" customHeight="false" outlineLevel="0" collapsed="false">
      <c r="A91" s="12" t="s">
        <v>352</v>
      </c>
      <c r="B91" s="12" t="s">
        <v>171</v>
      </c>
      <c r="C91" s="12" t="n">
        <f aca="false">COUNTIFS(Data!$E$2:$E$1249,A91,Data!$F$2:$F$1249,B91)</f>
        <v>10</v>
      </c>
      <c r="D91" s="12" t="n">
        <f aca="false">COUNTIFS(Data!$E$2:$E$1249,A91,Data!$F$2:$F$1249,B91,Data!$L$2:$L$1249,"Yes")</f>
        <v>4</v>
      </c>
      <c r="E91" s="16" t="n">
        <f aca="false">IFERROR(D91/C91,0)</f>
        <v>0.4</v>
      </c>
      <c r="F91" s="17" t="n">
        <f aca="false">D91+C91/1000+ROW()/10000000</f>
        <v>4.0100091</v>
      </c>
      <c r="G91" s="12"/>
      <c r="H91" s="12"/>
      <c r="I91" s="12"/>
      <c r="J91" s="12"/>
      <c r="K91" s="12"/>
    </row>
    <row r="92" customFormat="false" ht="15" hidden="false" customHeight="false" outlineLevel="0" collapsed="false">
      <c r="A92" s="12" t="s">
        <v>352</v>
      </c>
      <c r="B92" s="12" t="s">
        <v>325</v>
      </c>
      <c r="C92" s="12" t="n">
        <f aca="false">COUNTIFS(Data!$E$2:$E$1249,A92,Data!$F$2:$F$1249,B92)</f>
        <v>4</v>
      </c>
      <c r="D92" s="12" t="n">
        <f aca="false">COUNTIFS(Data!$E$2:$E$1249,A92,Data!$F$2:$F$1249,B92,Data!$L$2:$L$1249,"Yes")</f>
        <v>3</v>
      </c>
      <c r="E92" s="16" t="n">
        <f aca="false">IFERROR(D92/C92,0)</f>
        <v>0.75</v>
      </c>
      <c r="F92" s="17" t="n">
        <f aca="false">D92+C92/1000+ROW()/10000000</f>
        <v>3.0040092</v>
      </c>
      <c r="G92" s="12"/>
      <c r="H92" s="12"/>
      <c r="I92" s="12"/>
      <c r="J92" s="12"/>
      <c r="K92" s="12"/>
    </row>
    <row r="93" customFormat="false" ht="15" hidden="false" customHeight="false" outlineLevel="0" collapsed="false">
      <c r="A93" s="12" t="s">
        <v>198</v>
      </c>
      <c r="B93" s="12" t="s">
        <v>79</v>
      </c>
      <c r="C93" s="12" t="n">
        <f aca="false">COUNTIFS(Data!$E$2:$E$1249,A93,Data!$F$2:$F$1249,B93)</f>
        <v>3</v>
      </c>
      <c r="D93" s="12" t="n">
        <f aca="false">COUNTIFS(Data!$E$2:$E$1249,A93,Data!$F$2:$F$1249,B93,Data!$L$2:$L$1249,"Yes")</f>
        <v>3</v>
      </c>
      <c r="E93" s="16" t="n">
        <f aca="false">IFERROR(D93/C93,0)</f>
        <v>1</v>
      </c>
      <c r="F93" s="17" t="n">
        <f aca="false">D93+C93/1000+ROW()/10000000</f>
        <v>3.0030093</v>
      </c>
      <c r="G93" s="12"/>
      <c r="H93" s="12"/>
      <c r="I93" s="12"/>
      <c r="J93" s="12"/>
      <c r="K93" s="12"/>
    </row>
    <row r="94" customFormat="false" ht="15" hidden="false" customHeight="false" outlineLevel="0" collapsed="false">
      <c r="A94" s="12" t="s">
        <v>198</v>
      </c>
      <c r="B94" s="12" t="s">
        <v>257</v>
      </c>
      <c r="C94" s="12" t="n">
        <f aca="false">COUNTIFS(Data!$E$2:$E$1249,A94,Data!$F$2:$F$1249,B94)</f>
        <v>2</v>
      </c>
      <c r="D94" s="12" t="n">
        <f aca="false">COUNTIFS(Data!$E$2:$E$1249,A94,Data!$F$2:$F$1249,B94,Data!$L$2:$L$1249,"Yes")</f>
        <v>1</v>
      </c>
      <c r="E94" s="16" t="n">
        <f aca="false">IFERROR(D94/C94,0)</f>
        <v>0.5</v>
      </c>
      <c r="F94" s="17" t="n">
        <f aca="false">D94+C94/1000+ROW()/10000000</f>
        <v>1.0020094</v>
      </c>
      <c r="G94" s="12"/>
      <c r="H94" s="12"/>
      <c r="I94" s="12"/>
      <c r="J94" s="12"/>
      <c r="K94" s="12"/>
    </row>
    <row r="95" customFormat="false" ht="15" hidden="false" customHeight="false" outlineLevel="0" collapsed="false">
      <c r="A95" s="12" t="s">
        <v>530</v>
      </c>
      <c r="B95" s="12" t="s">
        <v>62</v>
      </c>
      <c r="C95" s="12" t="n">
        <f aca="false">COUNTIFS(Data!$E$2:$E$1249,A95,Data!$F$2:$F$1249,B95)</f>
        <v>4</v>
      </c>
      <c r="D95" s="12" t="n">
        <f aca="false">COUNTIFS(Data!$E$2:$E$1249,A95,Data!$F$2:$F$1249,B95,Data!$L$2:$L$1249,"Yes")</f>
        <v>0</v>
      </c>
      <c r="E95" s="16" t="n">
        <f aca="false">IFERROR(D95/C95,0)</f>
        <v>0</v>
      </c>
      <c r="F95" s="17" t="n">
        <f aca="false">D95+C95/1000+ROW()/10000000</f>
        <v>0.0040095</v>
      </c>
      <c r="G95" s="12"/>
      <c r="H95" s="12"/>
      <c r="I95" s="12"/>
      <c r="J95" s="12"/>
      <c r="K95" s="12"/>
    </row>
    <row r="96" customFormat="false" ht="15" hidden="false" customHeight="false" outlineLevel="0" collapsed="false">
      <c r="A96" s="12" t="s">
        <v>530</v>
      </c>
      <c r="B96" s="12" t="s">
        <v>531</v>
      </c>
      <c r="C96" s="12" t="n">
        <f aca="false">COUNTIFS(Data!$E$2:$E$1249,A96,Data!$F$2:$F$1249,B96)</f>
        <v>7</v>
      </c>
      <c r="D96" s="12" t="n">
        <f aca="false">COUNTIFS(Data!$E$2:$E$1249,A96,Data!$F$2:$F$1249,B96,Data!$L$2:$L$1249,"Yes")</f>
        <v>1</v>
      </c>
      <c r="E96" s="16" t="n">
        <f aca="false">IFERROR(D96/C96,0)</f>
        <v>0.142857142857143</v>
      </c>
      <c r="F96" s="17" t="n">
        <f aca="false">D96+C96/1000+ROW()/10000000</f>
        <v>1.0070096</v>
      </c>
      <c r="G96" s="12"/>
      <c r="H96" s="12"/>
      <c r="I96" s="12"/>
      <c r="J96" s="12"/>
      <c r="K96" s="12"/>
    </row>
    <row r="97" customFormat="false" ht="15" hidden="false" customHeight="false" outlineLevel="0" collapsed="false">
      <c r="A97" s="12" t="s">
        <v>287</v>
      </c>
      <c r="B97" s="12" t="s">
        <v>45</v>
      </c>
      <c r="C97" s="12" t="n">
        <f aca="false">COUNTIFS(Data!$E$2:$E$1249,A97,Data!$F$2:$F$1249,B97)</f>
        <v>6</v>
      </c>
      <c r="D97" s="12" t="n">
        <f aca="false">COUNTIFS(Data!$E$2:$E$1249,A97,Data!$F$2:$F$1249,B97,Data!$L$2:$L$1249,"Yes")</f>
        <v>1</v>
      </c>
      <c r="E97" s="16" t="n">
        <f aca="false">IFERROR(D97/C97,0)</f>
        <v>0.166666666666667</v>
      </c>
      <c r="F97" s="17" t="n">
        <f aca="false">D97+C97/1000+ROW()/10000000</f>
        <v>1.0060097</v>
      </c>
      <c r="G97" s="12"/>
      <c r="H97" s="12"/>
      <c r="I97" s="12"/>
      <c r="J97" s="12"/>
      <c r="K97" s="12"/>
    </row>
    <row r="98" customFormat="false" ht="15" hidden="false" customHeight="false" outlineLevel="0" collapsed="false">
      <c r="A98" s="12" t="s">
        <v>287</v>
      </c>
      <c r="B98" s="12" t="s">
        <v>214</v>
      </c>
      <c r="C98" s="12" t="n">
        <f aca="false">COUNTIFS(Data!$E$2:$E$1249,A98,Data!$F$2:$F$1249,B98)</f>
        <v>1</v>
      </c>
      <c r="D98" s="12" t="n">
        <f aca="false">COUNTIFS(Data!$E$2:$E$1249,A98,Data!$F$2:$F$1249,B98,Data!$L$2:$L$1249,"Yes")</f>
        <v>0</v>
      </c>
      <c r="E98" s="16" t="n">
        <f aca="false">IFERROR(D98/C98,0)</f>
        <v>0</v>
      </c>
      <c r="F98" s="17" t="n">
        <f aca="false">D98+C98/1000+ROW()/10000000</f>
        <v>0.0010098</v>
      </c>
      <c r="G98" s="12"/>
      <c r="H98" s="12"/>
      <c r="I98" s="12"/>
      <c r="J98" s="12"/>
      <c r="K98" s="12"/>
    </row>
    <row r="99" customFormat="false" ht="15" hidden="false" customHeight="false" outlineLevel="0" collapsed="false">
      <c r="A99" s="12" t="s">
        <v>287</v>
      </c>
      <c r="B99" s="12" t="s">
        <v>345</v>
      </c>
      <c r="C99" s="12" t="n">
        <f aca="false">COUNTIFS(Data!$E$2:$E$1249,A99,Data!$F$2:$F$1249,B99)</f>
        <v>3</v>
      </c>
      <c r="D99" s="12" t="n">
        <f aca="false">COUNTIFS(Data!$E$2:$E$1249,A99,Data!$F$2:$F$1249,B99,Data!$L$2:$L$1249,"Yes")</f>
        <v>2</v>
      </c>
      <c r="E99" s="16" t="n">
        <f aca="false">IFERROR(D99/C99,0)</f>
        <v>0.666666666666667</v>
      </c>
      <c r="F99" s="17" t="n">
        <f aca="false">D99+C99/1000+ROW()/10000000</f>
        <v>2.0030099</v>
      </c>
      <c r="G99" s="12"/>
      <c r="H99" s="12"/>
      <c r="I99" s="12"/>
      <c r="J99" s="12"/>
      <c r="K99" s="12"/>
    </row>
    <row r="100" customFormat="false" ht="15" hidden="false" customHeight="false" outlineLevel="0" collapsed="false">
      <c r="A100" s="12" t="s">
        <v>36</v>
      </c>
      <c r="B100" s="12" t="s">
        <v>364</v>
      </c>
      <c r="C100" s="12" t="n">
        <f aca="false">COUNTIFS(Data!$E$2:$E$1249,A100,Data!$F$2:$F$1249,B100)</f>
        <v>17</v>
      </c>
      <c r="D100" s="12" t="n">
        <f aca="false">COUNTIFS(Data!$E$2:$E$1249,A100,Data!$F$2:$F$1249,B100,Data!$L$2:$L$1249,"Yes")</f>
        <v>14</v>
      </c>
      <c r="E100" s="16" t="n">
        <f aca="false">IFERROR(D100/C100,0)</f>
        <v>0.823529411764706</v>
      </c>
      <c r="F100" s="17" t="n">
        <f aca="false">D100+C100/1000+ROW()/10000000</f>
        <v>14.01701</v>
      </c>
      <c r="G100" s="12"/>
      <c r="H100" s="12"/>
      <c r="I100" s="12"/>
      <c r="J100" s="12"/>
      <c r="K100" s="12"/>
    </row>
    <row r="101" customFormat="false" ht="15" hidden="false" customHeight="false" outlineLevel="0" collapsed="false">
      <c r="A101" s="12" t="s">
        <v>36</v>
      </c>
      <c r="B101" s="12" t="s">
        <v>37</v>
      </c>
      <c r="C101" s="12" t="n">
        <f aca="false">COUNTIFS(Data!$E$2:$E$1249,A101,Data!$F$2:$F$1249,B101)</f>
        <v>22</v>
      </c>
      <c r="D101" s="12" t="n">
        <f aca="false">COUNTIFS(Data!$E$2:$E$1249,A101,Data!$F$2:$F$1249,B101,Data!$L$2:$L$1249,"Yes")</f>
        <v>1</v>
      </c>
      <c r="E101" s="16" t="n">
        <f aca="false">IFERROR(D101/C101,0)</f>
        <v>0.0454545454545455</v>
      </c>
      <c r="F101" s="17" t="n">
        <f aca="false">D101+C101/1000+ROW()/10000000</f>
        <v>1.0220101</v>
      </c>
      <c r="G101" s="12"/>
      <c r="H101" s="12"/>
      <c r="I101" s="12"/>
      <c r="J101" s="12"/>
      <c r="K101" s="12"/>
    </row>
    <row r="102" customFormat="false" ht="15" hidden="false" customHeight="false" outlineLevel="0" collapsed="false">
      <c r="A102" s="12" t="s">
        <v>150</v>
      </c>
      <c r="B102" s="12" t="s">
        <v>221</v>
      </c>
      <c r="C102" s="12" t="n">
        <f aca="false">COUNTIFS(Data!$E$2:$E$1249,A102,Data!$F$2:$F$1249,B102)</f>
        <v>6</v>
      </c>
      <c r="D102" s="12" t="n">
        <f aca="false">COUNTIFS(Data!$E$2:$E$1249,A102,Data!$F$2:$F$1249,B102,Data!$L$2:$L$1249,"Yes")</f>
        <v>4</v>
      </c>
      <c r="E102" s="16" t="n">
        <f aca="false">IFERROR(D102/C102,0)</f>
        <v>0.666666666666667</v>
      </c>
      <c r="F102" s="17" t="n">
        <f aca="false">D102+C102/1000+ROW()/10000000</f>
        <v>4.0060102</v>
      </c>
      <c r="G102" s="12"/>
      <c r="H102" s="12"/>
      <c r="I102" s="12"/>
      <c r="J102" s="12"/>
      <c r="K102" s="12"/>
    </row>
    <row r="103" customFormat="false" ht="15" hidden="false" customHeight="false" outlineLevel="0" collapsed="false">
      <c r="A103" s="12" t="s">
        <v>150</v>
      </c>
      <c r="B103" s="12" t="s">
        <v>151</v>
      </c>
      <c r="C103" s="12" t="n">
        <f aca="false">COUNTIFS(Data!$E$2:$E$1249,A103,Data!$F$2:$F$1249,B103)</f>
        <v>10</v>
      </c>
      <c r="D103" s="12" t="n">
        <f aca="false">COUNTIFS(Data!$E$2:$E$1249,A103,Data!$F$2:$F$1249,B103,Data!$L$2:$L$1249,"Yes")</f>
        <v>4</v>
      </c>
      <c r="E103" s="16" t="n">
        <f aca="false">IFERROR(D103/C103,0)</f>
        <v>0.4</v>
      </c>
      <c r="F103" s="17" t="n">
        <f aca="false">D103+C103/1000+ROW()/10000000</f>
        <v>4.0100103</v>
      </c>
      <c r="G103" s="12"/>
      <c r="H103" s="12"/>
      <c r="I103" s="12"/>
      <c r="J103" s="12"/>
      <c r="K103" s="12"/>
    </row>
    <row r="104" customFormat="false" ht="15" hidden="false" customHeight="false" outlineLevel="0" collapsed="false">
      <c r="A104" s="12" t="s">
        <v>301</v>
      </c>
      <c r="B104" s="12" t="s">
        <v>103</v>
      </c>
      <c r="C104" s="12" t="n">
        <f aca="false">COUNTIFS(Data!$E$2:$E$1249,A104,Data!$F$2:$F$1249,B104)</f>
        <v>10</v>
      </c>
      <c r="D104" s="12" t="n">
        <f aca="false">COUNTIFS(Data!$E$2:$E$1249,A104,Data!$F$2:$F$1249,B104,Data!$L$2:$L$1249,"Yes")</f>
        <v>9</v>
      </c>
      <c r="E104" s="16" t="n">
        <f aca="false">IFERROR(D104/C104,0)</f>
        <v>0.9</v>
      </c>
      <c r="F104" s="17" t="n">
        <f aca="false">D104+C104/1000+ROW()/10000000</f>
        <v>9.0100104</v>
      </c>
      <c r="G104" s="12"/>
      <c r="H104" s="12"/>
      <c r="I104" s="12"/>
      <c r="J104" s="12"/>
      <c r="K104" s="12"/>
    </row>
    <row r="105" customFormat="false" ht="15" hidden="false" customHeight="false" outlineLevel="0" collapsed="false">
      <c r="A105" s="12" t="s">
        <v>301</v>
      </c>
      <c r="B105" s="12" t="s">
        <v>302</v>
      </c>
      <c r="C105" s="12" t="n">
        <f aca="false">COUNTIFS(Data!$E$2:$E$1249,A105,Data!$F$2:$F$1249,B105)</f>
        <v>7</v>
      </c>
      <c r="D105" s="12" t="n">
        <f aca="false">COUNTIFS(Data!$E$2:$E$1249,A105,Data!$F$2:$F$1249,B105,Data!$L$2:$L$1249,"Yes")</f>
        <v>1</v>
      </c>
      <c r="E105" s="16" t="n">
        <f aca="false">IFERROR(D105/C105,0)</f>
        <v>0.142857142857143</v>
      </c>
      <c r="F105" s="17" t="n">
        <f aca="false">D105+C105/1000+ROW()/10000000</f>
        <v>1.0070105</v>
      </c>
      <c r="G105" s="12"/>
      <c r="H105" s="12"/>
      <c r="I105" s="12"/>
      <c r="J105" s="12"/>
      <c r="K105" s="12"/>
    </row>
    <row r="106" customFormat="false" ht="15" hidden="false" customHeight="false" outlineLevel="0" collapsed="false">
      <c r="A106" s="12" t="s">
        <v>124</v>
      </c>
      <c r="B106" s="12" t="s">
        <v>62</v>
      </c>
      <c r="C106" s="12" t="n">
        <f aca="false">COUNTIFS(Data!$E$2:$E$1249,A106,Data!$F$2:$F$1249,B106)</f>
        <v>5</v>
      </c>
      <c r="D106" s="12" t="n">
        <f aca="false">COUNTIFS(Data!$E$2:$E$1249,A106,Data!$F$2:$F$1249,B106,Data!$L$2:$L$1249,"Yes")</f>
        <v>0</v>
      </c>
      <c r="E106" s="16" t="n">
        <f aca="false">IFERROR(D106/C106,0)</f>
        <v>0</v>
      </c>
      <c r="F106" s="17" t="n">
        <f aca="false">D106+C106/1000+ROW()/10000000</f>
        <v>0.0050106</v>
      </c>
      <c r="G106" s="12"/>
      <c r="H106" s="12"/>
      <c r="I106" s="12"/>
      <c r="J106" s="12"/>
      <c r="K106" s="12"/>
    </row>
    <row r="107" customFormat="false" ht="15" hidden="false" customHeight="false" outlineLevel="0" collapsed="false">
      <c r="A107" s="12" t="s">
        <v>124</v>
      </c>
      <c r="B107" s="12" t="s">
        <v>214</v>
      </c>
      <c r="C107" s="12" t="n">
        <f aca="false">COUNTIFS(Data!$E$2:$E$1249,A107,Data!$F$2:$F$1249,B107)</f>
        <v>1</v>
      </c>
      <c r="D107" s="12" t="n">
        <f aca="false">COUNTIFS(Data!$E$2:$E$1249,A107,Data!$F$2:$F$1249,B107,Data!$L$2:$L$1249,"Yes")</f>
        <v>0</v>
      </c>
      <c r="E107" s="16" t="n">
        <f aca="false">IFERROR(D107/C107,0)</f>
        <v>0</v>
      </c>
      <c r="F107" s="17" t="n">
        <f aca="false">D107+C107/1000+ROW()/10000000</f>
        <v>0.0010107</v>
      </c>
      <c r="G107" s="12"/>
      <c r="H107" s="12"/>
      <c r="I107" s="12"/>
      <c r="J107" s="12"/>
      <c r="K107" s="12"/>
    </row>
    <row r="108" customFormat="false" ht="15" hidden="false" customHeight="false" outlineLevel="0" collapsed="false">
      <c r="A108" s="12" t="s">
        <v>272</v>
      </c>
      <c r="B108" s="12" t="s">
        <v>62</v>
      </c>
      <c r="C108" s="12" t="n">
        <f aca="false">COUNTIFS(Data!$E$2:$E$1249,A108,Data!$F$2:$F$1249,B108)</f>
        <v>4</v>
      </c>
      <c r="D108" s="12" t="n">
        <f aca="false">COUNTIFS(Data!$E$2:$E$1249,A108,Data!$F$2:$F$1249,B108,Data!$L$2:$L$1249,"Yes")</f>
        <v>0</v>
      </c>
      <c r="E108" s="16" t="n">
        <f aca="false">IFERROR(D108/C108,0)</f>
        <v>0</v>
      </c>
      <c r="F108" s="17" t="n">
        <f aca="false">D108+C108/1000+ROW()/10000000</f>
        <v>0.0040108</v>
      </c>
      <c r="G108" s="12"/>
      <c r="H108" s="12"/>
      <c r="I108" s="12"/>
      <c r="J108" s="12"/>
      <c r="K108" s="12"/>
    </row>
    <row r="109" customFormat="false" ht="15" hidden="false" customHeight="false" outlineLevel="0" collapsed="false">
      <c r="A109" s="12" t="s">
        <v>272</v>
      </c>
      <c r="B109" s="12" t="s">
        <v>214</v>
      </c>
      <c r="C109" s="12" t="n">
        <f aca="false">COUNTIFS(Data!$E$2:$E$1249,A109,Data!$F$2:$F$1249,B109)</f>
        <v>8</v>
      </c>
      <c r="D109" s="12" t="n">
        <f aca="false">COUNTIFS(Data!$E$2:$E$1249,A109,Data!$F$2:$F$1249,B109,Data!$L$2:$L$1249,"Yes")</f>
        <v>3</v>
      </c>
      <c r="E109" s="16" t="n">
        <f aca="false">IFERROR(D109/C109,0)</f>
        <v>0.375</v>
      </c>
      <c r="F109" s="17" t="n">
        <f aca="false">D109+C109/1000+ROW()/10000000</f>
        <v>3.0080109</v>
      </c>
      <c r="G109" s="12"/>
      <c r="H109" s="12"/>
      <c r="I109" s="12"/>
      <c r="J109" s="12"/>
      <c r="K109" s="12"/>
    </row>
    <row r="110" customFormat="false" ht="15" hidden="false" customHeight="false" outlineLevel="0" collapsed="false">
      <c r="A110" s="12" t="s">
        <v>272</v>
      </c>
      <c r="B110" s="12" t="s">
        <v>114</v>
      </c>
      <c r="C110" s="12" t="n">
        <f aca="false">COUNTIFS(Data!$E$2:$E$1249,A110,Data!$F$2:$F$1249,B110)</f>
        <v>4</v>
      </c>
      <c r="D110" s="12" t="n">
        <f aca="false">COUNTIFS(Data!$E$2:$E$1249,A110,Data!$F$2:$F$1249,B110,Data!$L$2:$L$1249,"Yes")</f>
        <v>4</v>
      </c>
      <c r="E110" s="16" t="n">
        <f aca="false">IFERROR(D110/C110,0)</f>
        <v>1</v>
      </c>
      <c r="F110" s="17" t="n">
        <f aca="false">D110+C110/1000+ROW()/10000000</f>
        <v>4.004011</v>
      </c>
      <c r="G110" s="12"/>
      <c r="H110" s="12"/>
      <c r="I110" s="12"/>
      <c r="J110" s="12"/>
      <c r="K110" s="12"/>
    </row>
    <row r="111" customFormat="false" ht="15" hidden="false" customHeight="false" outlineLevel="0" collapsed="false">
      <c r="A111" s="12" t="s">
        <v>369</v>
      </c>
      <c r="B111" s="12" t="s">
        <v>62</v>
      </c>
      <c r="C111" s="12" t="n">
        <f aca="false">COUNTIFS(Data!$E$2:$E$1249,A111,Data!$F$2:$F$1249,B111)</f>
        <v>9</v>
      </c>
      <c r="D111" s="12" t="n">
        <f aca="false">COUNTIFS(Data!$E$2:$E$1249,A111,Data!$F$2:$F$1249,B111,Data!$L$2:$L$1249,"Yes")</f>
        <v>2</v>
      </c>
      <c r="E111" s="16" t="n">
        <f aca="false">IFERROR(D111/C111,0)</f>
        <v>0.222222222222222</v>
      </c>
      <c r="F111" s="17" t="n">
        <f aca="false">D111+C111/1000+ROW()/10000000</f>
        <v>2.0090111</v>
      </c>
      <c r="G111" s="12"/>
      <c r="H111" s="12"/>
      <c r="I111" s="12"/>
      <c r="J111" s="12"/>
      <c r="K111" s="12"/>
    </row>
    <row r="112" customFormat="false" ht="15" hidden="false" customHeight="false" outlineLevel="0" collapsed="false">
      <c r="A112" s="12" t="s">
        <v>369</v>
      </c>
      <c r="B112" s="12" t="s">
        <v>743</v>
      </c>
      <c r="C112" s="12" t="n">
        <f aca="false">COUNTIFS(Data!$E$2:$E$1249,A112,Data!$F$2:$F$1249,B112)</f>
        <v>5</v>
      </c>
      <c r="D112" s="12" t="n">
        <f aca="false">COUNTIFS(Data!$E$2:$E$1249,A112,Data!$F$2:$F$1249,B112,Data!$L$2:$L$1249,"Yes")</f>
        <v>1</v>
      </c>
      <c r="E112" s="16" t="n">
        <f aca="false">IFERROR(D112/C112,0)</f>
        <v>0.2</v>
      </c>
      <c r="F112" s="17" t="n">
        <f aca="false">D112+C112/1000+ROW()/10000000</f>
        <v>1.0050112</v>
      </c>
      <c r="G112" s="12"/>
      <c r="H112" s="12"/>
      <c r="I112" s="12"/>
      <c r="J112" s="12"/>
      <c r="K112" s="12"/>
    </row>
    <row r="113" customFormat="false" ht="15" hidden="false" customHeight="false" outlineLevel="0" collapsed="false">
      <c r="A113" s="12" t="s">
        <v>127</v>
      </c>
      <c r="B113" s="12" t="s">
        <v>128</v>
      </c>
      <c r="C113" s="12" t="n">
        <f aca="false">COUNTIFS(Data!$E$2:$E$1249,A113,Data!$F$2:$F$1249,B113)</f>
        <v>8</v>
      </c>
      <c r="D113" s="12" t="n">
        <f aca="false">COUNTIFS(Data!$E$2:$E$1249,A113,Data!$F$2:$F$1249,B113,Data!$L$2:$L$1249,"Yes")</f>
        <v>2</v>
      </c>
      <c r="E113" s="16" t="n">
        <f aca="false">IFERROR(D113/C113,0)</f>
        <v>0.25</v>
      </c>
      <c r="F113" s="17" t="n">
        <f aca="false">D113+C113/1000+ROW()/10000000</f>
        <v>2.0080113</v>
      </c>
      <c r="G113" s="12"/>
      <c r="H113" s="12"/>
      <c r="I113" s="12"/>
      <c r="J113" s="12"/>
      <c r="K113" s="12"/>
    </row>
    <row r="114" customFormat="false" ht="15" hidden="false" customHeight="false" outlineLevel="0" collapsed="false">
      <c r="A114" s="12" t="s">
        <v>127</v>
      </c>
      <c r="B114" s="12" t="s">
        <v>325</v>
      </c>
      <c r="C114" s="12" t="n">
        <f aca="false">COUNTIFS(Data!$E$2:$E$1249,A114,Data!$F$2:$F$1249,B114)</f>
        <v>6</v>
      </c>
      <c r="D114" s="12" t="n">
        <f aca="false">COUNTIFS(Data!$E$2:$E$1249,A114,Data!$F$2:$F$1249,B114,Data!$L$2:$L$1249,"Yes")</f>
        <v>6</v>
      </c>
      <c r="E114" s="16" t="n">
        <f aca="false">IFERROR(D114/C114,0)</f>
        <v>1</v>
      </c>
      <c r="F114" s="17" t="n">
        <f aca="false">D114+C114/1000+ROW()/10000000</f>
        <v>6.0060114</v>
      </c>
      <c r="G114" s="12"/>
      <c r="H114" s="12"/>
      <c r="I114" s="12"/>
      <c r="J114" s="12"/>
      <c r="K114" s="12"/>
    </row>
    <row r="115" customFormat="false" ht="15" hidden="false" customHeight="false" outlineLevel="0" collapsed="false">
      <c r="A115" s="12" t="s">
        <v>127</v>
      </c>
      <c r="B115" s="12" t="s">
        <v>284</v>
      </c>
      <c r="C115" s="12" t="n">
        <f aca="false">COUNTIFS(Data!$E$2:$E$1249,A115,Data!$F$2:$F$1249,B115)</f>
        <v>1</v>
      </c>
      <c r="D115" s="12" t="n">
        <f aca="false">COUNTIFS(Data!$E$2:$E$1249,A115,Data!$F$2:$F$1249,B115,Data!$L$2:$L$1249,"Yes")</f>
        <v>1</v>
      </c>
      <c r="E115" s="16" t="n">
        <f aca="false">IFERROR(D115/C115,0)</f>
        <v>1</v>
      </c>
      <c r="F115" s="17" t="n">
        <f aca="false">D115+C115/1000+ROW()/10000000</f>
        <v>1.0010115</v>
      </c>
      <c r="G115" s="12"/>
      <c r="H115" s="12"/>
      <c r="I115" s="12"/>
      <c r="J115" s="12"/>
      <c r="K115" s="12"/>
    </row>
    <row r="116" customFormat="false" ht="15" hidden="false" customHeight="false" outlineLevel="0" collapsed="false">
      <c r="A116" s="12" t="s">
        <v>304</v>
      </c>
      <c r="B116" s="12" t="s">
        <v>305</v>
      </c>
      <c r="C116" s="12" t="n">
        <f aca="false">COUNTIFS(Data!$E$2:$E$1249,A116,Data!$F$2:$F$1249,B116)</f>
        <v>10</v>
      </c>
      <c r="D116" s="12" t="n">
        <f aca="false">COUNTIFS(Data!$E$2:$E$1249,A116,Data!$F$2:$F$1249,B116,Data!$L$2:$L$1249,"Yes")</f>
        <v>1</v>
      </c>
      <c r="E116" s="16" t="n">
        <f aca="false">IFERROR(D116/C116,0)</f>
        <v>0.1</v>
      </c>
      <c r="F116" s="17" t="n">
        <f aca="false">D116+C116/1000+ROW()/10000000</f>
        <v>1.0100116</v>
      </c>
      <c r="G116" s="12"/>
      <c r="H116" s="12"/>
      <c r="I116" s="12"/>
      <c r="J116" s="12"/>
      <c r="K116" s="12"/>
    </row>
    <row r="117" customFormat="false" ht="15" hidden="false" customHeight="false" outlineLevel="0" collapsed="false">
      <c r="A117" s="12" t="s">
        <v>304</v>
      </c>
      <c r="B117" s="12" t="s">
        <v>165</v>
      </c>
      <c r="C117" s="12" t="n">
        <f aca="false">COUNTIFS(Data!$E$2:$E$1249,A117,Data!$F$2:$F$1249,B117)</f>
        <v>4</v>
      </c>
      <c r="D117" s="12" t="n">
        <f aca="false">COUNTIFS(Data!$E$2:$E$1249,A117,Data!$F$2:$F$1249,B117,Data!$L$2:$L$1249,"Yes")</f>
        <v>0</v>
      </c>
      <c r="E117" s="16" t="n">
        <f aca="false">IFERROR(D117/C117,0)</f>
        <v>0</v>
      </c>
      <c r="F117" s="17" t="n">
        <f aca="false">D117+C117/1000+ROW()/10000000</f>
        <v>0.0040117</v>
      </c>
      <c r="G117" s="12"/>
      <c r="H117" s="12"/>
      <c r="I117" s="12"/>
      <c r="J117" s="12"/>
      <c r="K117" s="12"/>
    </row>
    <row r="118" customFormat="false" ht="15" hidden="false" customHeight="false" outlineLevel="0" collapsed="false">
      <c r="A118" s="12" t="s">
        <v>538</v>
      </c>
      <c r="B118" s="12" t="s">
        <v>45</v>
      </c>
      <c r="C118" s="12" t="n">
        <f aca="false">COUNTIFS(Data!$E$2:$E$1249,A118,Data!$F$2:$F$1249,B118)</f>
        <v>4</v>
      </c>
      <c r="D118" s="12" t="n">
        <f aca="false">COUNTIFS(Data!$E$2:$E$1249,A118,Data!$F$2:$F$1249,B118,Data!$L$2:$L$1249,"Yes")</f>
        <v>1</v>
      </c>
      <c r="E118" s="16" t="n">
        <f aca="false">IFERROR(D118/C118,0)</f>
        <v>0.25</v>
      </c>
      <c r="F118" s="17" t="n">
        <f aca="false">D118+C118/1000+ROW()/10000000</f>
        <v>1.0040118</v>
      </c>
      <c r="G118" s="12"/>
      <c r="H118" s="12"/>
      <c r="I118" s="12"/>
      <c r="J118" s="12"/>
      <c r="K118" s="12"/>
    </row>
    <row r="119" customFormat="false" ht="15" hidden="false" customHeight="false" outlineLevel="0" collapsed="false">
      <c r="A119" s="12" t="s">
        <v>538</v>
      </c>
      <c r="B119" s="12" t="s">
        <v>257</v>
      </c>
      <c r="C119" s="12" t="n">
        <f aca="false">COUNTIFS(Data!$E$2:$E$1249,A119,Data!$F$2:$F$1249,B119)</f>
        <v>4</v>
      </c>
      <c r="D119" s="12" t="n">
        <f aca="false">COUNTIFS(Data!$E$2:$E$1249,A119,Data!$F$2:$F$1249,B119,Data!$L$2:$L$1249,"Yes")</f>
        <v>4</v>
      </c>
      <c r="E119" s="16" t="n">
        <f aca="false">IFERROR(D119/C119,0)</f>
        <v>1</v>
      </c>
      <c r="F119" s="17" t="n">
        <f aca="false">D119+C119/1000+ROW()/10000000</f>
        <v>4.0040119</v>
      </c>
      <c r="G119" s="12"/>
      <c r="H119" s="12"/>
      <c r="I119" s="12"/>
      <c r="J119" s="12"/>
      <c r="K119" s="12"/>
    </row>
    <row r="120" customFormat="false" ht="15" hidden="false" customHeight="false" outlineLevel="0" collapsed="false">
      <c r="A120" s="12" t="s">
        <v>821</v>
      </c>
      <c r="B120" s="12" t="s">
        <v>274</v>
      </c>
      <c r="C120" s="12" t="n">
        <f aca="false">COUNTIFS(Data!$E$2:$E$1249,A120,Data!$F$2:$F$1249,B120)</f>
        <v>2</v>
      </c>
      <c r="D120" s="12" t="n">
        <f aca="false">COUNTIFS(Data!$E$2:$E$1249,A120,Data!$F$2:$F$1249,B120,Data!$L$2:$L$1249,"Yes")</f>
        <v>0</v>
      </c>
      <c r="E120" s="16" t="n">
        <f aca="false">IFERROR(D120/C120,0)</f>
        <v>0</v>
      </c>
      <c r="F120" s="17" t="n">
        <f aca="false">D120+C120/1000+ROW()/10000000</f>
        <v>0.002012</v>
      </c>
      <c r="G120" s="12"/>
      <c r="H120" s="12"/>
      <c r="I120" s="12"/>
      <c r="J120" s="12"/>
      <c r="K120" s="12"/>
    </row>
    <row r="121" customFormat="false" ht="15" hidden="false" customHeight="false" outlineLevel="0" collapsed="false">
      <c r="A121" s="12" t="s">
        <v>821</v>
      </c>
      <c r="B121" s="12" t="s">
        <v>165</v>
      </c>
      <c r="C121" s="12" t="n">
        <f aca="false">COUNTIFS(Data!$E$2:$E$1249,A121,Data!$F$2:$F$1249,B121)</f>
        <v>1</v>
      </c>
      <c r="D121" s="12" t="n">
        <f aca="false">COUNTIFS(Data!$E$2:$E$1249,A121,Data!$F$2:$F$1249,B121,Data!$L$2:$L$1249,"Yes")</f>
        <v>0</v>
      </c>
      <c r="E121" s="16" t="n">
        <f aca="false">IFERROR(D121/C121,0)</f>
        <v>0</v>
      </c>
      <c r="F121" s="17" t="n">
        <f aca="false">D121+C121/1000+ROW()/10000000</f>
        <v>0.0010121</v>
      </c>
      <c r="G121" s="12"/>
      <c r="H121" s="12"/>
      <c r="I121" s="12"/>
      <c r="J121" s="12"/>
      <c r="K121" s="12"/>
    </row>
    <row r="122" customFormat="false" ht="15" hidden="false" customHeight="false" outlineLevel="0" collapsed="false">
      <c r="A122" s="12" t="s">
        <v>130</v>
      </c>
      <c r="B122" s="12" t="s">
        <v>62</v>
      </c>
      <c r="C122" s="12" t="n">
        <f aca="false">COUNTIFS(Data!$E$2:$E$1249,A122,Data!$F$2:$F$1249,B122)</f>
        <v>6</v>
      </c>
      <c r="D122" s="12" t="n">
        <f aca="false">COUNTIFS(Data!$E$2:$E$1249,A122,Data!$F$2:$F$1249,B122,Data!$L$2:$L$1249,"Yes")</f>
        <v>0</v>
      </c>
      <c r="E122" s="16" t="n">
        <f aca="false">IFERROR(D122/C122,0)</f>
        <v>0</v>
      </c>
      <c r="F122" s="17" t="n">
        <f aca="false">D122+C122/1000+ROW()/10000000</f>
        <v>0.0060122</v>
      </c>
      <c r="G122" s="12"/>
      <c r="H122" s="12"/>
      <c r="I122" s="12"/>
      <c r="J122" s="12"/>
      <c r="K122" s="12"/>
    </row>
    <row r="123" customFormat="false" ht="15" hidden="false" customHeight="false" outlineLevel="0" collapsed="false">
      <c r="A123" s="12" t="s">
        <v>130</v>
      </c>
      <c r="B123" s="12" t="s">
        <v>131</v>
      </c>
      <c r="C123" s="12" t="n">
        <f aca="false">COUNTIFS(Data!$E$2:$E$1249,A123,Data!$F$2:$F$1249,B123)</f>
        <v>6</v>
      </c>
      <c r="D123" s="12" t="n">
        <f aca="false">COUNTIFS(Data!$E$2:$E$1249,A123,Data!$F$2:$F$1249,B123,Data!$L$2:$L$1249,"Yes")</f>
        <v>0</v>
      </c>
      <c r="E123" s="16" t="n">
        <f aca="false">IFERROR(D123/C123,0)</f>
        <v>0</v>
      </c>
      <c r="F123" s="17" t="n">
        <f aca="false">D123+C123/1000+ROW()/10000000</f>
        <v>0.0060123</v>
      </c>
      <c r="G123" s="12"/>
      <c r="H123" s="12"/>
      <c r="I123" s="12"/>
      <c r="J123" s="12"/>
      <c r="K123" s="12"/>
    </row>
    <row r="124" customFormat="false" ht="15" hidden="false" customHeight="false" outlineLevel="0" collapsed="false">
      <c r="A124" s="12" t="s">
        <v>243</v>
      </c>
      <c r="B124" s="12" t="s">
        <v>139</v>
      </c>
      <c r="C124" s="12" t="n">
        <f aca="false">COUNTIFS(Data!$E$2:$E$1249,A124,Data!$F$2:$F$1249,B124)</f>
        <v>9</v>
      </c>
      <c r="D124" s="12" t="n">
        <f aca="false">COUNTIFS(Data!$E$2:$E$1249,A124,Data!$F$2:$F$1249,B124,Data!$L$2:$L$1249,"Yes")</f>
        <v>0</v>
      </c>
      <c r="E124" s="16" t="n">
        <f aca="false">IFERROR(D124/C124,0)</f>
        <v>0</v>
      </c>
      <c r="F124" s="17" t="n">
        <f aca="false">D124+C124/1000+ROW()/10000000</f>
        <v>0.0090124</v>
      </c>
      <c r="G124" s="12"/>
      <c r="H124" s="12"/>
      <c r="I124" s="12"/>
      <c r="J124" s="12"/>
      <c r="K124" s="12"/>
    </row>
    <row r="125" customFormat="false" ht="15" hidden="false" customHeight="false" outlineLevel="0" collapsed="false">
      <c r="A125" s="12" t="s">
        <v>243</v>
      </c>
      <c r="B125" s="12" t="s">
        <v>348</v>
      </c>
      <c r="C125" s="12" t="n">
        <f aca="false">COUNTIFS(Data!$E$2:$E$1249,A125,Data!$F$2:$F$1249,B125)</f>
        <v>15</v>
      </c>
      <c r="D125" s="12" t="n">
        <f aca="false">COUNTIFS(Data!$E$2:$E$1249,A125,Data!$F$2:$F$1249,B125,Data!$L$2:$L$1249,"Yes")</f>
        <v>10</v>
      </c>
      <c r="E125" s="16" t="n">
        <f aca="false">IFERROR(D125/C125,0)</f>
        <v>0.666666666666667</v>
      </c>
      <c r="F125" s="17" t="n">
        <f aca="false">D125+C125/1000+ROW()/10000000</f>
        <v>10.0150125</v>
      </c>
      <c r="G125" s="12"/>
      <c r="H125" s="12"/>
      <c r="I125" s="12"/>
      <c r="J125" s="12"/>
      <c r="K125" s="12"/>
    </row>
    <row r="126" customFormat="false" ht="15" hidden="false" customHeight="false" outlineLevel="0" collapsed="false">
      <c r="A126" s="12" t="s">
        <v>243</v>
      </c>
      <c r="B126" s="12" t="s">
        <v>45</v>
      </c>
      <c r="C126" s="12" t="n">
        <f aca="false">COUNTIFS(Data!$E$2:$E$1249,A126,Data!$F$2:$F$1249,B126)</f>
        <v>14</v>
      </c>
      <c r="D126" s="12" t="n">
        <f aca="false">COUNTIFS(Data!$E$2:$E$1249,A126,Data!$F$2:$F$1249,B126,Data!$L$2:$L$1249,"Yes")</f>
        <v>1</v>
      </c>
      <c r="E126" s="16" t="n">
        <f aca="false">IFERROR(D126/C126,0)</f>
        <v>0.0714285714285714</v>
      </c>
      <c r="F126" s="17" t="n">
        <f aca="false">D126+C126/1000+ROW()/10000000</f>
        <v>1.0140126</v>
      </c>
      <c r="G126" s="12"/>
      <c r="H126" s="12"/>
      <c r="I126" s="12"/>
      <c r="J126" s="12"/>
      <c r="K126" s="12"/>
    </row>
    <row r="127" customFormat="false" ht="15" hidden="false" customHeight="false" outlineLevel="0" collapsed="false">
      <c r="A127" s="12" t="s">
        <v>65</v>
      </c>
      <c r="B127" s="12" t="s">
        <v>237</v>
      </c>
      <c r="C127" s="12" t="n">
        <f aca="false">COUNTIFS(Data!$E$2:$E$1249,A127,Data!$F$2:$F$1249,B127)</f>
        <v>7</v>
      </c>
      <c r="D127" s="12" t="n">
        <f aca="false">COUNTIFS(Data!$E$2:$E$1249,A127,Data!$F$2:$F$1249,B127,Data!$L$2:$L$1249,"Yes")</f>
        <v>7</v>
      </c>
      <c r="E127" s="16" t="n">
        <f aca="false">IFERROR(D127/C127,0)</f>
        <v>1</v>
      </c>
      <c r="F127" s="17" t="n">
        <f aca="false">D127+C127/1000+ROW()/10000000</f>
        <v>7.0070127</v>
      </c>
      <c r="G127" s="12"/>
      <c r="H127" s="12"/>
      <c r="I127" s="12"/>
      <c r="J127" s="12"/>
      <c r="K127" s="12"/>
    </row>
    <row r="128" customFormat="false" ht="15" hidden="false" customHeight="false" outlineLevel="0" collapsed="false">
      <c r="A128" s="12" t="s">
        <v>65</v>
      </c>
      <c r="B128" s="12" t="s">
        <v>66</v>
      </c>
      <c r="C128" s="12" t="n">
        <f aca="false">COUNTIFS(Data!$E$2:$E$1249,A128,Data!$F$2:$F$1249,B128)</f>
        <v>4</v>
      </c>
      <c r="D128" s="12" t="n">
        <f aca="false">COUNTIFS(Data!$E$2:$E$1249,A128,Data!$F$2:$F$1249,B128,Data!$L$2:$L$1249,"Yes")</f>
        <v>1</v>
      </c>
      <c r="E128" s="16" t="n">
        <f aca="false">IFERROR(D128/C128,0)</f>
        <v>0.25</v>
      </c>
      <c r="F128" s="17" t="n">
        <f aca="false">D128+C128/1000+ROW()/10000000</f>
        <v>1.0040128</v>
      </c>
      <c r="G128" s="12"/>
      <c r="H128" s="12"/>
      <c r="I128" s="12"/>
      <c r="J128" s="12"/>
      <c r="K128" s="12"/>
    </row>
    <row r="129" customFormat="false" ht="15" hidden="false" customHeight="false" outlineLevel="0" collapsed="false">
      <c r="A129" s="12" t="s">
        <v>407</v>
      </c>
      <c r="B129" s="12" t="s">
        <v>176</v>
      </c>
      <c r="C129" s="12" t="n">
        <f aca="false">COUNTIFS(Data!$E$2:$E$1249,A129,Data!$F$2:$F$1249,B129)</f>
        <v>8</v>
      </c>
      <c r="D129" s="12" t="n">
        <f aca="false">COUNTIFS(Data!$E$2:$E$1249,A129,Data!$F$2:$F$1249,B129,Data!$L$2:$L$1249,"Yes")</f>
        <v>4</v>
      </c>
      <c r="E129" s="16" t="n">
        <f aca="false">IFERROR(D129/C129,0)</f>
        <v>0.5</v>
      </c>
      <c r="F129" s="17" t="n">
        <f aca="false">D129+C129/1000+ROW()/10000000</f>
        <v>4.0080129</v>
      </c>
      <c r="G129" s="12"/>
      <c r="H129" s="12"/>
      <c r="I129" s="12"/>
      <c r="J129" s="12"/>
      <c r="K129" s="12"/>
    </row>
    <row r="130" customFormat="false" ht="15" hidden="false" customHeight="false" outlineLevel="0" collapsed="false">
      <c r="A130" s="12" t="s">
        <v>407</v>
      </c>
      <c r="B130" s="12" t="s">
        <v>62</v>
      </c>
      <c r="C130" s="12" t="n">
        <f aca="false">COUNTIFS(Data!$E$2:$E$1249,A130,Data!$F$2:$F$1249,B130)</f>
        <v>5</v>
      </c>
      <c r="D130" s="12" t="n">
        <f aca="false">COUNTIFS(Data!$E$2:$E$1249,A130,Data!$F$2:$F$1249,B130,Data!$L$2:$L$1249,"Yes")</f>
        <v>1</v>
      </c>
      <c r="E130" s="16" t="n">
        <f aca="false">IFERROR(D130/C130,0)</f>
        <v>0.2</v>
      </c>
      <c r="F130" s="17" t="n">
        <f aca="false">D130+C130/1000+ROW()/10000000</f>
        <v>1.005013</v>
      </c>
      <c r="G130" s="12"/>
      <c r="H130" s="12"/>
      <c r="I130" s="12"/>
      <c r="J130" s="12"/>
      <c r="K130" s="12"/>
    </row>
    <row r="131" customFormat="false" ht="15" hidden="false" customHeight="false" outlineLevel="0" collapsed="false">
      <c r="A131" s="12" t="s">
        <v>280</v>
      </c>
      <c r="B131" s="12" t="s">
        <v>45</v>
      </c>
      <c r="C131" s="12" t="n">
        <f aca="false">COUNTIFS(Data!$E$2:$E$1249,A131,Data!$F$2:$F$1249,B131)</f>
        <v>11</v>
      </c>
      <c r="D131" s="12" t="n">
        <f aca="false">COUNTIFS(Data!$E$2:$E$1249,A131,Data!$F$2:$F$1249,B131,Data!$L$2:$L$1249,"Yes")</f>
        <v>0</v>
      </c>
      <c r="E131" s="16" t="n">
        <f aca="false">IFERROR(D131/C131,0)</f>
        <v>0</v>
      </c>
      <c r="F131" s="17" t="n">
        <f aca="false">D131+C131/1000+ROW()/10000000</f>
        <v>0.0110131</v>
      </c>
      <c r="G131" s="12"/>
      <c r="H131" s="12"/>
      <c r="I131" s="12"/>
      <c r="J131" s="12"/>
      <c r="K131" s="12"/>
    </row>
    <row r="132" customFormat="false" ht="15" hidden="false" customHeight="false" outlineLevel="0" collapsed="false">
      <c r="A132" s="12" t="s">
        <v>280</v>
      </c>
      <c r="B132" s="12" t="s">
        <v>302</v>
      </c>
      <c r="C132" s="12" t="n">
        <f aca="false">COUNTIFS(Data!$E$2:$E$1249,A132,Data!$F$2:$F$1249,B132)</f>
        <v>2</v>
      </c>
      <c r="D132" s="12" t="n">
        <f aca="false">COUNTIFS(Data!$E$2:$E$1249,A132,Data!$F$2:$F$1249,B132,Data!$L$2:$L$1249,"Yes")</f>
        <v>1</v>
      </c>
      <c r="E132" s="16" t="n">
        <f aca="false">IFERROR(D132/C132,0)</f>
        <v>0.5</v>
      </c>
      <c r="F132" s="17" t="n">
        <f aca="false">D132+C132/1000+ROW()/10000000</f>
        <v>1.0020132</v>
      </c>
      <c r="G132" s="12"/>
      <c r="H132" s="12"/>
      <c r="I132" s="12"/>
      <c r="J132" s="12"/>
      <c r="K132" s="12"/>
    </row>
    <row r="133" customFormat="false" ht="15" hidden="false" customHeight="false" outlineLevel="0" collapsed="false">
      <c r="A133" s="12" t="s">
        <v>160</v>
      </c>
      <c r="B133" s="12" t="s">
        <v>235</v>
      </c>
      <c r="C133" s="12" t="n">
        <f aca="false">COUNTIFS(Data!$E$2:$E$1249,A133,Data!$F$2:$F$1249,B133)</f>
        <v>3</v>
      </c>
      <c r="D133" s="12" t="n">
        <f aca="false">COUNTIFS(Data!$E$2:$E$1249,A133,Data!$F$2:$F$1249,B133,Data!$L$2:$L$1249,"Yes")</f>
        <v>0</v>
      </c>
      <c r="E133" s="16" t="n">
        <f aca="false">IFERROR(D133/C133,0)</f>
        <v>0</v>
      </c>
      <c r="F133" s="17" t="n">
        <f aca="false">D133+C133/1000+ROW()/10000000</f>
        <v>0.0030133</v>
      </c>
      <c r="G133" s="12"/>
      <c r="H133" s="12"/>
      <c r="I133" s="12"/>
      <c r="J133" s="12"/>
      <c r="K133" s="12"/>
    </row>
    <row r="134" customFormat="false" ht="15" hidden="false" customHeight="false" outlineLevel="0" collapsed="false">
      <c r="A134" s="12" t="s">
        <v>160</v>
      </c>
      <c r="B134" s="12" t="s">
        <v>161</v>
      </c>
      <c r="C134" s="12" t="n">
        <f aca="false">COUNTIFS(Data!$E$2:$E$1249,A134,Data!$F$2:$F$1249,B134)</f>
        <v>2</v>
      </c>
      <c r="D134" s="12" t="n">
        <f aca="false">COUNTIFS(Data!$E$2:$E$1249,A134,Data!$F$2:$F$1249,B134,Data!$L$2:$L$1249,"Yes")</f>
        <v>0</v>
      </c>
      <c r="E134" s="16" t="n">
        <f aca="false">IFERROR(D134/C134,0)</f>
        <v>0</v>
      </c>
      <c r="F134" s="17" t="n">
        <f aca="false">D134+C134/1000+ROW()/10000000</f>
        <v>0.0020134</v>
      </c>
      <c r="G134" s="12"/>
      <c r="H134" s="12"/>
      <c r="I134" s="12"/>
      <c r="J134" s="12"/>
      <c r="K134" s="12"/>
    </row>
    <row r="135" customFormat="false" ht="15" hidden="false" customHeight="false" outlineLevel="0" collapsed="false">
      <c r="A135" s="12" t="s">
        <v>70</v>
      </c>
      <c r="B135" s="12" t="s">
        <v>108</v>
      </c>
      <c r="C135" s="12" t="n">
        <f aca="false">COUNTIFS(Data!$E$2:$E$1249,A135,Data!$F$2:$F$1249,B135)</f>
        <v>8</v>
      </c>
      <c r="D135" s="12" t="n">
        <f aca="false">COUNTIFS(Data!$E$2:$E$1249,A135,Data!$F$2:$F$1249,B135,Data!$L$2:$L$1249,"Yes")</f>
        <v>2</v>
      </c>
      <c r="E135" s="16" t="n">
        <f aca="false">IFERROR(D135/C135,0)</f>
        <v>0.25</v>
      </c>
      <c r="F135" s="17" t="n">
        <f aca="false">D135+C135/1000+ROW()/10000000</f>
        <v>2.0080135</v>
      </c>
      <c r="G135" s="12"/>
      <c r="H135" s="12"/>
      <c r="I135" s="12"/>
      <c r="J135" s="12"/>
      <c r="K135" s="12"/>
    </row>
    <row r="136" customFormat="false" ht="15" hidden="false" customHeight="false" outlineLevel="0" collapsed="false">
      <c r="A136" s="12" t="s">
        <v>70</v>
      </c>
      <c r="B136" s="12" t="s">
        <v>71</v>
      </c>
      <c r="C136" s="12" t="n">
        <f aca="false">COUNTIFS(Data!$E$2:$E$1249,A136,Data!$F$2:$F$1249,B136)</f>
        <v>7</v>
      </c>
      <c r="D136" s="12" t="n">
        <f aca="false">COUNTIFS(Data!$E$2:$E$1249,A136,Data!$F$2:$F$1249,B136,Data!$L$2:$L$1249,"Yes")</f>
        <v>6</v>
      </c>
      <c r="E136" s="16" t="n">
        <f aca="false">IFERROR(D136/C136,0)</f>
        <v>0.857142857142857</v>
      </c>
      <c r="F136" s="17" t="n">
        <f aca="false">D136+C136/1000+ROW()/10000000</f>
        <v>6.0070136</v>
      </c>
      <c r="G136" s="12"/>
      <c r="H136" s="12"/>
      <c r="I136" s="12"/>
      <c r="J136" s="12"/>
      <c r="K136" s="12"/>
    </row>
    <row r="137" customFormat="false" ht="15" hidden="false" customHeight="false" outlineLevel="0" collapsed="false">
      <c r="A137" s="12" t="s">
        <v>398</v>
      </c>
      <c r="B137" s="12" t="s">
        <v>364</v>
      </c>
      <c r="C137" s="12" t="n">
        <f aca="false">COUNTIFS(Data!$E$2:$E$1249,A137,Data!$F$2:$F$1249,B137)</f>
        <v>9</v>
      </c>
      <c r="D137" s="12" t="n">
        <f aca="false">COUNTIFS(Data!$E$2:$E$1249,A137,Data!$F$2:$F$1249,B137,Data!$L$2:$L$1249,"Yes")</f>
        <v>6</v>
      </c>
      <c r="E137" s="16" t="n">
        <f aca="false">IFERROR(D137/C137,0)</f>
        <v>0.666666666666667</v>
      </c>
      <c r="F137" s="17" t="n">
        <f aca="false">D137+C137/1000+ROW()/10000000</f>
        <v>6.0090137</v>
      </c>
      <c r="G137" s="12"/>
      <c r="H137" s="12"/>
      <c r="I137" s="12"/>
      <c r="J137" s="12"/>
      <c r="K137" s="12"/>
    </row>
    <row r="138" customFormat="false" ht="15" hidden="false" customHeight="false" outlineLevel="0" collapsed="false">
      <c r="A138" s="12" t="s">
        <v>398</v>
      </c>
      <c r="B138" s="12" t="s">
        <v>37</v>
      </c>
      <c r="C138" s="12" t="n">
        <f aca="false">COUNTIFS(Data!$E$2:$E$1249,A138,Data!$F$2:$F$1249,B138)</f>
        <v>8</v>
      </c>
      <c r="D138" s="12" t="n">
        <f aca="false">COUNTIFS(Data!$E$2:$E$1249,A138,Data!$F$2:$F$1249,B138,Data!$L$2:$L$1249,"Yes")</f>
        <v>1</v>
      </c>
      <c r="E138" s="16" t="n">
        <f aca="false">IFERROR(D138/C138,0)</f>
        <v>0.125</v>
      </c>
      <c r="F138" s="17" t="n">
        <f aca="false">D138+C138/1000+ROW()/10000000</f>
        <v>1.0080138</v>
      </c>
      <c r="G138" s="12"/>
      <c r="H138" s="12"/>
      <c r="I138" s="12"/>
      <c r="J138" s="12"/>
      <c r="K138" s="12"/>
    </row>
    <row r="139" customFormat="false" ht="15" hidden="false" customHeight="false" outlineLevel="0" collapsed="false">
      <c r="A139" s="12" t="s">
        <v>204</v>
      </c>
      <c r="B139" s="12" t="s">
        <v>103</v>
      </c>
      <c r="C139" s="12" t="n">
        <f aca="false">COUNTIFS(Data!$E$2:$E$1249,A139,Data!$F$2:$F$1249,B139)</f>
        <v>2</v>
      </c>
      <c r="D139" s="12" t="n">
        <f aca="false">COUNTIFS(Data!$E$2:$E$1249,A139,Data!$F$2:$F$1249,B139,Data!$L$2:$L$1249,"Yes")</f>
        <v>0</v>
      </c>
      <c r="E139" s="16" t="n">
        <f aca="false">IFERROR(D139/C139,0)</f>
        <v>0</v>
      </c>
      <c r="F139" s="17" t="n">
        <f aca="false">D139+C139/1000+ROW()/10000000</f>
        <v>0.0020139</v>
      </c>
      <c r="G139" s="12"/>
      <c r="H139" s="12"/>
      <c r="I139" s="12"/>
      <c r="J139" s="12"/>
      <c r="K139" s="12"/>
    </row>
    <row r="140" customFormat="false" ht="15" hidden="false" customHeight="false" outlineLevel="0" collapsed="false">
      <c r="A140" s="12" t="s">
        <v>204</v>
      </c>
      <c r="B140" s="12" t="s">
        <v>45</v>
      </c>
      <c r="C140" s="12" t="n">
        <f aca="false">COUNTIFS(Data!$E$2:$E$1249,A140,Data!$F$2:$F$1249,B140)</f>
        <v>4</v>
      </c>
      <c r="D140" s="12" t="n">
        <f aca="false">COUNTIFS(Data!$E$2:$E$1249,A140,Data!$F$2:$F$1249,B140,Data!$L$2:$L$1249,"Yes")</f>
        <v>0</v>
      </c>
      <c r="E140" s="16" t="n">
        <f aca="false">IFERROR(D140/C140,0)</f>
        <v>0</v>
      </c>
      <c r="F140" s="17" t="n">
        <f aca="false">D140+C140/1000+ROW()/10000000</f>
        <v>0.004014</v>
      </c>
      <c r="G140" s="12"/>
      <c r="H140" s="12"/>
      <c r="I140" s="12"/>
      <c r="J140" s="12"/>
      <c r="K140" s="12"/>
    </row>
    <row r="141" customFormat="false" ht="15" hidden="false" customHeight="false" outlineLevel="0" collapsed="false">
      <c r="A141" s="12" t="s">
        <v>204</v>
      </c>
      <c r="B141" s="12" t="s">
        <v>371</v>
      </c>
      <c r="C141" s="12" t="n">
        <f aca="false">COUNTIFS(Data!$E$2:$E$1249,A141,Data!$F$2:$F$1249,B141)</f>
        <v>2</v>
      </c>
      <c r="D141" s="12" t="n">
        <f aca="false">COUNTIFS(Data!$E$2:$E$1249,A141,Data!$F$2:$F$1249,B141,Data!$L$2:$L$1249,"Yes")</f>
        <v>2</v>
      </c>
      <c r="E141" s="16" t="n">
        <f aca="false">IFERROR(D141/C141,0)</f>
        <v>1</v>
      </c>
      <c r="F141" s="17" t="n">
        <f aca="false">D141+C141/1000+ROW()/10000000</f>
        <v>2.0020141</v>
      </c>
      <c r="G141" s="12"/>
      <c r="H141" s="12"/>
      <c r="I141" s="12"/>
      <c r="J141" s="12"/>
      <c r="K141" s="12"/>
    </row>
    <row r="142" customFormat="false" ht="15" hidden="false" customHeight="false" outlineLevel="0" collapsed="false">
      <c r="A142" s="12" t="s">
        <v>498</v>
      </c>
      <c r="B142" s="12" t="s">
        <v>322</v>
      </c>
      <c r="C142" s="12" t="n">
        <f aca="false">COUNTIFS(Data!$E$2:$E$1249,A142,Data!$F$2:$F$1249,B142)</f>
        <v>5</v>
      </c>
      <c r="D142" s="12" t="n">
        <f aca="false">COUNTIFS(Data!$E$2:$E$1249,A142,Data!$F$2:$F$1249,B142,Data!$L$2:$L$1249,"Yes")</f>
        <v>0</v>
      </c>
      <c r="E142" s="16" t="n">
        <f aca="false">IFERROR(D142/C142,0)</f>
        <v>0</v>
      </c>
      <c r="F142" s="17" t="n">
        <f aca="false">D142+C142/1000+ROW()/10000000</f>
        <v>0.0050142</v>
      </c>
      <c r="G142" s="12"/>
      <c r="H142" s="12"/>
      <c r="I142" s="12"/>
      <c r="J142" s="12"/>
      <c r="K142" s="12"/>
    </row>
    <row r="143" customFormat="false" ht="15" hidden="false" customHeight="false" outlineLevel="0" collapsed="false">
      <c r="A143" s="12" t="s">
        <v>498</v>
      </c>
      <c r="B143" s="12" t="s">
        <v>93</v>
      </c>
      <c r="C143" s="12" t="n">
        <f aca="false">COUNTIFS(Data!$E$2:$E$1249,A143,Data!$F$2:$F$1249,B143)</f>
        <v>6</v>
      </c>
      <c r="D143" s="12" t="n">
        <f aca="false">COUNTIFS(Data!$E$2:$E$1249,A143,Data!$F$2:$F$1249,B143,Data!$L$2:$L$1249,"Yes")</f>
        <v>1</v>
      </c>
      <c r="E143" s="16" t="n">
        <f aca="false">IFERROR(D143/C143,0)</f>
        <v>0.166666666666667</v>
      </c>
      <c r="F143" s="17" t="n">
        <f aca="false">D143+C143/1000+ROW()/10000000</f>
        <v>1.0060143</v>
      </c>
      <c r="G143" s="12"/>
      <c r="H143" s="12"/>
      <c r="I143" s="12"/>
      <c r="J143" s="12"/>
      <c r="K143" s="12"/>
    </row>
    <row r="144" customFormat="false" ht="15" hidden="false" customHeight="false" outlineLevel="0" collapsed="false">
      <c r="A144" s="12" t="s">
        <v>383</v>
      </c>
      <c r="B144" s="12" t="s">
        <v>139</v>
      </c>
      <c r="C144" s="12" t="n">
        <f aca="false">COUNTIFS(Data!$E$2:$E$1249,A144,Data!$F$2:$F$1249,B144)</f>
        <v>9</v>
      </c>
      <c r="D144" s="12" t="n">
        <f aca="false">COUNTIFS(Data!$E$2:$E$1249,A144,Data!$F$2:$F$1249,B144,Data!$L$2:$L$1249,"Yes")</f>
        <v>0</v>
      </c>
      <c r="E144" s="16" t="n">
        <f aca="false">IFERROR(D144/C144,0)</f>
        <v>0</v>
      </c>
      <c r="F144" s="17" t="n">
        <f aca="false">D144+C144/1000+ROW()/10000000</f>
        <v>0.0090144</v>
      </c>
      <c r="G144" s="12"/>
      <c r="H144" s="12"/>
      <c r="I144" s="12"/>
      <c r="J144" s="12"/>
      <c r="K144" s="12"/>
    </row>
    <row r="145" customFormat="false" ht="15" hidden="false" customHeight="false" outlineLevel="0" collapsed="false">
      <c r="A145" s="12" t="s">
        <v>383</v>
      </c>
      <c r="B145" s="12" t="s">
        <v>235</v>
      </c>
      <c r="C145" s="12" t="n">
        <f aca="false">COUNTIFS(Data!$E$2:$E$1249,A145,Data!$F$2:$F$1249,B145)</f>
        <v>12</v>
      </c>
      <c r="D145" s="12" t="n">
        <f aca="false">COUNTIFS(Data!$E$2:$E$1249,A145,Data!$F$2:$F$1249,B145,Data!$L$2:$L$1249,"Yes")</f>
        <v>1</v>
      </c>
      <c r="E145" s="16" t="n">
        <f aca="false">IFERROR(D145/C145,0)</f>
        <v>0.0833333333333333</v>
      </c>
      <c r="F145" s="17" t="n">
        <f aca="false">D145+C145/1000+ROW()/10000000</f>
        <v>1.0120145</v>
      </c>
      <c r="G145" s="12"/>
      <c r="H145" s="12"/>
      <c r="I145" s="12"/>
      <c r="J145" s="12"/>
      <c r="K145" s="12"/>
    </row>
    <row r="146" customFormat="false" ht="15" hidden="false" customHeight="false" outlineLevel="0" collapsed="false">
      <c r="A146" s="12" t="s">
        <v>374</v>
      </c>
      <c r="B146" s="12" t="s">
        <v>108</v>
      </c>
      <c r="C146" s="12" t="n">
        <f aca="false">COUNTIFS(Data!$E$2:$E$1249,A146,Data!$F$2:$F$1249,B146)</f>
        <v>2</v>
      </c>
      <c r="D146" s="12" t="n">
        <f aca="false">COUNTIFS(Data!$E$2:$E$1249,A146,Data!$F$2:$F$1249,B146,Data!$L$2:$L$1249,"Yes")</f>
        <v>0</v>
      </c>
      <c r="E146" s="16" t="n">
        <f aca="false">IFERROR(D146/C146,0)</f>
        <v>0</v>
      </c>
      <c r="F146" s="17" t="n">
        <f aca="false">D146+C146/1000+ROW()/10000000</f>
        <v>0.0020146</v>
      </c>
      <c r="G146" s="12"/>
      <c r="H146" s="12"/>
      <c r="I146" s="12"/>
      <c r="J146" s="12"/>
      <c r="K146" s="12"/>
    </row>
    <row r="147" customFormat="false" ht="15" hidden="false" customHeight="false" outlineLevel="0" collapsed="false">
      <c r="A147" s="12" t="s">
        <v>374</v>
      </c>
      <c r="B147" s="12" t="s">
        <v>235</v>
      </c>
      <c r="C147" s="12" t="n">
        <f aca="false">COUNTIFS(Data!$E$2:$E$1249,A147,Data!$F$2:$F$1249,B147)</f>
        <v>4</v>
      </c>
      <c r="D147" s="12" t="n">
        <f aca="false">COUNTIFS(Data!$E$2:$E$1249,A147,Data!$F$2:$F$1249,B147,Data!$L$2:$L$1249,"Yes")</f>
        <v>1</v>
      </c>
      <c r="E147" s="16" t="n">
        <f aca="false">IFERROR(D147/C147,0)</f>
        <v>0.25</v>
      </c>
      <c r="F147" s="17" t="n">
        <f aca="false">D147+C147/1000+ROW()/10000000</f>
        <v>1.0040147</v>
      </c>
      <c r="G147" s="12"/>
      <c r="H147" s="12"/>
      <c r="I147" s="12"/>
      <c r="J147" s="12"/>
      <c r="K147" s="12"/>
    </row>
    <row r="148" customFormat="false" ht="15" hidden="false" customHeight="false" outlineLevel="0" collapsed="false">
      <c r="A148" s="12" t="s">
        <v>374</v>
      </c>
      <c r="B148" s="12" t="s">
        <v>325</v>
      </c>
      <c r="C148" s="12" t="n">
        <f aca="false">COUNTIFS(Data!$E$2:$E$1249,A148,Data!$F$2:$F$1249,B148)</f>
        <v>6</v>
      </c>
      <c r="D148" s="12" t="n">
        <f aca="false">COUNTIFS(Data!$E$2:$E$1249,A148,Data!$F$2:$F$1249,B148,Data!$L$2:$L$1249,"Yes")</f>
        <v>6</v>
      </c>
      <c r="E148" s="16" t="n">
        <f aca="false">IFERROR(D148/C148,0)</f>
        <v>1</v>
      </c>
      <c r="F148" s="17" t="n">
        <f aca="false">D148+C148/1000+ROW()/10000000</f>
        <v>6.0060148</v>
      </c>
      <c r="G148" s="12"/>
      <c r="H148" s="12"/>
      <c r="I148" s="12"/>
      <c r="J148" s="12"/>
      <c r="K148" s="12"/>
    </row>
    <row r="149" customFormat="false" ht="15" hidden="false" customHeight="false" outlineLevel="0" collapsed="false">
      <c r="A149" s="12" t="s">
        <v>225</v>
      </c>
      <c r="B149" s="12" t="s">
        <v>139</v>
      </c>
      <c r="C149" s="12" t="n">
        <f aca="false">COUNTIFS(Data!$E$2:$E$1249,A149,Data!$F$2:$F$1249,B149)</f>
        <v>8</v>
      </c>
      <c r="D149" s="12" t="n">
        <f aca="false">COUNTIFS(Data!$E$2:$E$1249,A149,Data!$F$2:$F$1249,B149,Data!$L$2:$L$1249,"Yes")</f>
        <v>2</v>
      </c>
      <c r="E149" s="16" t="n">
        <f aca="false">IFERROR(D149/C149,0)</f>
        <v>0.25</v>
      </c>
      <c r="F149" s="17" t="n">
        <f aca="false">D149+C149/1000+ROW()/10000000</f>
        <v>2.0080149</v>
      </c>
      <c r="G149" s="12"/>
      <c r="H149" s="12"/>
      <c r="I149" s="12"/>
      <c r="J149" s="12"/>
      <c r="K149" s="12"/>
    </row>
    <row r="150" customFormat="false" ht="15" hidden="false" customHeight="false" outlineLevel="0" collapsed="false">
      <c r="A150" s="12" t="s">
        <v>225</v>
      </c>
      <c r="B150" s="12" t="s">
        <v>235</v>
      </c>
      <c r="C150" s="12" t="n">
        <f aca="false">COUNTIFS(Data!$E$2:$E$1249,A150,Data!$F$2:$F$1249,B150)</f>
        <v>9</v>
      </c>
      <c r="D150" s="12" t="n">
        <f aca="false">COUNTIFS(Data!$E$2:$E$1249,A150,Data!$F$2:$F$1249,B150,Data!$L$2:$L$1249,"Yes")</f>
        <v>0</v>
      </c>
      <c r="E150" s="16" t="n">
        <f aca="false">IFERROR(D150/C150,0)</f>
        <v>0</v>
      </c>
      <c r="F150" s="17" t="n">
        <f aca="false">D150+C150/1000+ROW()/10000000</f>
        <v>0.009015</v>
      </c>
      <c r="G150" s="12"/>
      <c r="H150" s="12"/>
      <c r="I150" s="12"/>
      <c r="J150" s="12"/>
      <c r="K150" s="12"/>
    </row>
    <row r="151" customFormat="false" ht="15" hidden="false" customHeight="false" outlineLevel="0" collapsed="false">
      <c r="A151" s="12" t="s">
        <v>227</v>
      </c>
      <c r="B151" s="12" t="s">
        <v>264</v>
      </c>
      <c r="C151" s="12" t="n">
        <f aca="false">COUNTIFS(Data!$E$2:$E$1249,A151,Data!$F$2:$F$1249,B151)</f>
        <v>11</v>
      </c>
      <c r="D151" s="12" t="n">
        <f aca="false">COUNTIFS(Data!$E$2:$E$1249,A151,Data!$F$2:$F$1249,B151,Data!$L$2:$L$1249,"Yes")</f>
        <v>10</v>
      </c>
      <c r="E151" s="16" t="n">
        <f aca="false">IFERROR(D151/C151,0)</f>
        <v>0.909090909090909</v>
      </c>
      <c r="F151" s="17" t="n">
        <f aca="false">D151+C151/1000+ROW()/10000000</f>
        <v>10.0110151</v>
      </c>
      <c r="G151" s="12"/>
      <c r="H151" s="12"/>
      <c r="I151" s="12"/>
      <c r="J151" s="12"/>
      <c r="K151" s="12"/>
    </row>
    <row r="152" customFormat="false" ht="15" hidden="false" customHeight="false" outlineLevel="0" collapsed="false">
      <c r="A152" s="12" t="s">
        <v>227</v>
      </c>
      <c r="B152" s="12" t="s">
        <v>214</v>
      </c>
      <c r="C152" s="12" t="n">
        <f aca="false">COUNTIFS(Data!$E$2:$E$1249,A152,Data!$F$2:$F$1249,B152)</f>
        <v>16</v>
      </c>
      <c r="D152" s="12" t="n">
        <f aca="false">COUNTIFS(Data!$E$2:$E$1249,A152,Data!$F$2:$F$1249,B152,Data!$L$2:$L$1249,"Yes")</f>
        <v>2</v>
      </c>
      <c r="E152" s="16" t="n">
        <f aca="false">IFERROR(D152/C152,0)</f>
        <v>0.125</v>
      </c>
      <c r="F152" s="17" t="n">
        <f aca="false">D152+C152/1000+ROW()/10000000</f>
        <v>2.0160152</v>
      </c>
      <c r="G152" s="12"/>
      <c r="H152" s="12"/>
      <c r="I152" s="12"/>
      <c r="J152" s="12"/>
      <c r="K152" s="12"/>
    </row>
    <row r="153" customFormat="false" ht="15" hidden="false" customHeight="false" outlineLevel="0" collapsed="false">
      <c r="A153" s="12" t="s">
        <v>213</v>
      </c>
      <c r="B153" s="12" t="s">
        <v>45</v>
      </c>
      <c r="C153" s="12" t="n">
        <f aca="false">COUNTIFS(Data!$E$2:$E$1249,A153,Data!$F$2:$F$1249,B153)</f>
        <v>1</v>
      </c>
      <c r="D153" s="12" t="n">
        <f aca="false">COUNTIFS(Data!$E$2:$E$1249,A153,Data!$F$2:$F$1249,B153,Data!$L$2:$L$1249,"Yes")</f>
        <v>1</v>
      </c>
      <c r="E153" s="16" t="n">
        <f aca="false">IFERROR(D153/C153,0)</f>
        <v>1</v>
      </c>
      <c r="F153" s="17" t="n">
        <f aca="false">D153+C153/1000+ROW()/10000000</f>
        <v>1.0010153</v>
      </c>
      <c r="G153" s="12"/>
      <c r="H153" s="12"/>
      <c r="I153" s="12"/>
      <c r="J153" s="12"/>
      <c r="K153" s="12"/>
    </row>
    <row r="154" customFormat="false" ht="15" hidden="false" customHeight="false" outlineLevel="0" collapsed="false">
      <c r="A154" s="12" t="s">
        <v>213</v>
      </c>
      <c r="B154" s="12" t="s">
        <v>214</v>
      </c>
      <c r="C154" s="12" t="n">
        <f aca="false">COUNTIFS(Data!$E$2:$E$1249,A154,Data!$F$2:$F$1249,B154)</f>
        <v>6</v>
      </c>
      <c r="D154" s="12" t="n">
        <f aca="false">COUNTIFS(Data!$E$2:$E$1249,A154,Data!$F$2:$F$1249,B154,Data!$L$2:$L$1249,"Yes")</f>
        <v>1</v>
      </c>
      <c r="E154" s="16" t="n">
        <f aca="false">IFERROR(D154/C154,0)</f>
        <v>0.166666666666667</v>
      </c>
      <c r="F154" s="17" t="n">
        <f aca="false">D154+C154/1000+ROW()/10000000</f>
        <v>1.0060154</v>
      </c>
      <c r="G154" s="12"/>
      <c r="H154" s="12"/>
      <c r="I154" s="12"/>
      <c r="J154" s="12"/>
      <c r="K154" s="12"/>
    </row>
    <row r="155" customFormat="false" ht="15" hidden="false" customHeight="false" outlineLevel="0" collapsed="false">
      <c r="A155" s="12" t="s">
        <v>113</v>
      </c>
      <c r="B155" s="12" t="s">
        <v>219</v>
      </c>
      <c r="C155" s="12" t="n">
        <f aca="false">COUNTIFS(Data!$E$2:$E$1249,A155,Data!$F$2:$F$1249,B155)</f>
        <v>7</v>
      </c>
      <c r="D155" s="12" t="n">
        <f aca="false">COUNTIFS(Data!$E$2:$E$1249,A155,Data!$F$2:$F$1249,B155,Data!$L$2:$L$1249,"Yes")</f>
        <v>1</v>
      </c>
      <c r="E155" s="16" t="n">
        <f aca="false">IFERROR(D155/C155,0)</f>
        <v>0.142857142857143</v>
      </c>
      <c r="F155" s="17" t="n">
        <f aca="false">D155+C155/1000+ROW()/10000000</f>
        <v>1.0070155</v>
      </c>
      <c r="G155" s="12"/>
      <c r="H155" s="12"/>
      <c r="I155" s="12"/>
      <c r="J155" s="12"/>
      <c r="K155" s="12"/>
    </row>
    <row r="156" customFormat="false" ht="15" hidden="false" customHeight="false" outlineLevel="0" collapsed="false">
      <c r="A156" s="12" t="s">
        <v>113</v>
      </c>
      <c r="B156" s="12" t="s">
        <v>62</v>
      </c>
      <c r="C156" s="12" t="n">
        <f aca="false">COUNTIFS(Data!$E$2:$E$1249,A156,Data!$F$2:$F$1249,B156)</f>
        <v>10</v>
      </c>
      <c r="D156" s="12" t="n">
        <f aca="false">COUNTIFS(Data!$E$2:$E$1249,A156,Data!$F$2:$F$1249,B156,Data!$L$2:$L$1249,"Yes")</f>
        <v>5</v>
      </c>
      <c r="E156" s="16" t="n">
        <f aca="false">IFERROR(D156/C156,0)</f>
        <v>0.5</v>
      </c>
      <c r="F156" s="17" t="n">
        <f aca="false">D156+C156/1000+ROW()/10000000</f>
        <v>5.0100156</v>
      </c>
      <c r="G156" s="12"/>
      <c r="H156" s="12"/>
      <c r="I156" s="12"/>
      <c r="J156" s="12"/>
      <c r="K156" s="12"/>
    </row>
    <row r="157" customFormat="false" ht="15" hidden="false" customHeight="false" outlineLevel="0" collapsed="false">
      <c r="A157" s="12" t="s">
        <v>113</v>
      </c>
      <c r="B157" s="12" t="s">
        <v>114</v>
      </c>
      <c r="C157" s="12" t="n">
        <f aca="false">COUNTIFS(Data!$E$2:$E$1249,A157,Data!$F$2:$F$1249,B157)</f>
        <v>4</v>
      </c>
      <c r="D157" s="12" t="n">
        <f aca="false">COUNTIFS(Data!$E$2:$E$1249,A157,Data!$F$2:$F$1249,B157,Data!$L$2:$L$1249,"Yes")</f>
        <v>4</v>
      </c>
      <c r="E157" s="16" t="n">
        <f aca="false">IFERROR(D157/C157,0)</f>
        <v>1</v>
      </c>
      <c r="F157" s="17" t="n">
        <f aca="false">D157+C157/1000+ROW()/10000000</f>
        <v>4.0040157</v>
      </c>
      <c r="G157" s="12"/>
      <c r="H157" s="12"/>
      <c r="I157" s="12"/>
      <c r="J157" s="12"/>
      <c r="K157" s="12"/>
    </row>
    <row r="158" customFormat="false" ht="15" hidden="false" customHeight="false" outlineLevel="0" collapsed="false">
      <c r="A158" s="12" t="s">
        <v>181</v>
      </c>
      <c r="B158" s="12" t="s">
        <v>37</v>
      </c>
      <c r="C158" s="12" t="n">
        <f aca="false">COUNTIFS(Data!$E$2:$E$1249,A158,Data!$F$2:$F$1249,B158)</f>
        <v>7</v>
      </c>
      <c r="D158" s="12" t="n">
        <f aca="false">COUNTIFS(Data!$E$2:$E$1249,A158,Data!$F$2:$F$1249,B158,Data!$L$2:$L$1249,"Yes")</f>
        <v>0</v>
      </c>
      <c r="E158" s="16" t="n">
        <f aca="false">IFERROR(D158/C158,0)</f>
        <v>0</v>
      </c>
      <c r="F158" s="17" t="n">
        <f aca="false">D158+C158/1000+ROW()/10000000</f>
        <v>0.0070158</v>
      </c>
      <c r="G158" s="12"/>
      <c r="H158" s="12"/>
      <c r="I158" s="12"/>
      <c r="J158" s="12"/>
      <c r="K158" s="12"/>
    </row>
    <row r="159" customFormat="false" ht="15" hidden="false" customHeight="false" outlineLevel="0" collapsed="false">
      <c r="A159" s="12" t="s">
        <v>181</v>
      </c>
      <c r="B159" s="12" t="s">
        <v>506</v>
      </c>
      <c r="C159" s="12" t="n">
        <f aca="false">COUNTIFS(Data!$E$2:$E$1249,A159,Data!$F$2:$F$1249,B159)</f>
        <v>9</v>
      </c>
      <c r="D159" s="12" t="n">
        <f aca="false">COUNTIFS(Data!$E$2:$E$1249,A159,Data!$F$2:$F$1249,B159,Data!$L$2:$L$1249,"Yes")</f>
        <v>1</v>
      </c>
      <c r="E159" s="16" t="n">
        <f aca="false">IFERROR(D159/C159,0)</f>
        <v>0.111111111111111</v>
      </c>
      <c r="F159" s="17" t="n">
        <f aca="false">D159+C159/1000+ROW()/10000000</f>
        <v>1.0090159</v>
      </c>
      <c r="G159" s="12"/>
      <c r="H159" s="12"/>
      <c r="I159" s="12"/>
      <c r="J159" s="12"/>
      <c r="K159" s="12"/>
    </row>
    <row r="160" customFormat="false" ht="15" hidden="false" customHeight="false" outlineLevel="0" collapsed="false">
      <c r="A160" s="12" t="s">
        <v>158</v>
      </c>
      <c r="B160" s="12" t="s">
        <v>62</v>
      </c>
      <c r="C160" s="12" t="n">
        <f aca="false">COUNTIFS(Data!$E$2:$E$1249,A160,Data!$F$2:$F$1249,B160)</f>
        <v>8</v>
      </c>
      <c r="D160" s="12" t="n">
        <f aca="false">COUNTIFS(Data!$E$2:$E$1249,A160,Data!$F$2:$F$1249,B160,Data!$L$2:$L$1249,"Yes")</f>
        <v>2</v>
      </c>
      <c r="E160" s="16" t="n">
        <f aca="false">IFERROR(D160/C160,0)</f>
        <v>0.25</v>
      </c>
      <c r="F160" s="17" t="n">
        <f aca="false">D160+C160/1000+ROW()/10000000</f>
        <v>2.008016</v>
      </c>
      <c r="G160" s="12"/>
      <c r="H160" s="12"/>
      <c r="I160" s="12"/>
      <c r="J160" s="12"/>
      <c r="K160" s="12"/>
    </row>
    <row r="161" customFormat="false" ht="15" hidden="false" customHeight="false" outlineLevel="0" collapsed="false">
      <c r="A161" s="12" t="s">
        <v>158</v>
      </c>
      <c r="B161" s="12" t="s">
        <v>249</v>
      </c>
      <c r="C161" s="12" t="n">
        <f aca="false">COUNTIFS(Data!$E$2:$E$1249,A161,Data!$F$2:$F$1249,B161)</f>
        <v>4</v>
      </c>
      <c r="D161" s="12" t="n">
        <f aca="false">COUNTIFS(Data!$E$2:$E$1249,A161,Data!$F$2:$F$1249,B161,Data!$L$2:$L$1249,"Yes")</f>
        <v>0</v>
      </c>
      <c r="E161" s="16" t="n">
        <f aca="false">IFERROR(D161/C161,0)</f>
        <v>0</v>
      </c>
      <c r="F161" s="17" t="n">
        <f aca="false">D161+C161/1000+ROW()/10000000</f>
        <v>0.0040161</v>
      </c>
      <c r="G161" s="12"/>
      <c r="H161" s="12"/>
      <c r="I161" s="12"/>
      <c r="J161" s="12"/>
      <c r="K161" s="12"/>
    </row>
    <row r="162" customFormat="false" ht="15" hidden="false" customHeight="false" outlineLevel="0" collapsed="false">
      <c r="A162" s="12" t="s">
        <v>216</v>
      </c>
      <c r="B162" s="12" t="s">
        <v>176</v>
      </c>
      <c r="C162" s="12" t="n">
        <f aca="false">COUNTIFS(Data!$E$2:$E$1249,A162,Data!$F$2:$F$1249,B162)</f>
        <v>3</v>
      </c>
      <c r="D162" s="12" t="n">
        <f aca="false">COUNTIFS(Data!$E$2:$E$1249,A162,Data!$F$2:$F$1249,B162,Data!$L$2:$L$1249,"Yes")</f>
        <v>1</v>
      </c>
      <c r="E162" s="16" t="n">
        <f aca="false">IFERROR(D162/C162,0)</f>
        <v>0.333333333333333</v>
      </c>
      <c r="F162" s="17" t="n">
        <f aca="false">D162+C162/1000+ROW()/10000000</f>
        <v>1.0030162</v>
      </c>
      <c r="G162" s="12"/>
      <c r="H162" s="12"/>
      <c r="I162" s="12"/>
      <c r="J162" s="12"/>
      <c r="K162" s="12"/>
    </row>
    <row r="163" customFormat="false" ht="15" hidden="false" customHeight="false" outlineLevel="0" collapsed="false">
      <c r="A163" s="12" t="s">
        <v>216</v>
      </c>
      <c r="B163" s="12" t="s">
        <v>357</v>
      </c>
      <c r="C163" s="12" t="n">
        <f aca="false">COUNTIFS(Data!$E$2:$E$1249,A163,Data!$F$2:$F$1249,B163)</f>
        <v>4</v>
      </c>
      <c r="D163" s="12" t="n">
        <f aca="false">COUNTIFS(Data!$E$2:$E$1249,A163,Data!$F$2:$F$1249,B163,Data!$L$2:$L$1249,"Yes")</f>
        <v>3</v>
      </c>
      <c r="E163" s="16" t="n">
        <f aca="false">IFERROR(D163/C163,0)</f>
        <v>0.75</v>
      </c>
      <c r="F163" s="17" t="n">
        <f aca="false">D163+C163/1000+ROW()/10000000</f>
        <v>3.0040163</v>
      </c>
      <c r="G163" s="12"/>
      <c r="H163" s="12"/>
      <c r="I163" s="12"/>
      <c r="J163" s="12"/>
      <c r="K163" s="12"/>
    </row>
    <row r="164" customFormat="false" ht="15" hidden="false" customHeight="false" outlineLevel="0" collapsed="false">
      <c r="A164" s="12" t="s">
        <v>216</v>
      </c>
      <c r="B164" s="12" t="s">
        <v>62</v>
      </c>
      <c r="C164" s="12" t="n">
        <f aca="false">COUNTIFS(Data!$E$2:$E$1249,A164,Data!$F$2:$F$1249,B164)</f>
        <v>2</v>
      </c>
      <c r="D164" s="12" t="n">
        <f aca="false">COUNTIFS(Data!$E$2:$E$1249,A164,Data!$F$2:$F$1249,B164,Data!$L$2:$L$1249,"Yes")</f>
        <v>1</v>
      </c>
      <c r="E164" s="16" t="n">
        <f aca="false">IFERROR(D164/C164,0)</f>
        <v>0.5</v>
      </c>
      <c r="F164" s="17" t="n">
        <f aca="false">D164+C164/1000+ROW()/10000000</f>
        <v>1.0020164</v>
      </c>
      <c r="G164" s="12"/>
      <c r="H164" s="12"/>
      <c r="I164" s="12"/>
      <c r="J164" s="12"/>
      <c r="K164" s="12"/>
    </row>
    <row r="165" customFormat="false" ht="15" hidden="false" customHeight="false" outlineLevel="0" collapsed="false">
      <c r="A165" s="12" t="s">
        <v>86</v>
      </c>
      <c r="B165" s="12" t="s">
        <v>103</v>
      </c>
      <c r="C165" s="12" t="n">
        <f aca="false">COUNTIFS(Data!$E$2:$E$1249,A165,Data!$F$2:$F$1249,B165)</f>
        <v>9</v>
      </c>
      <c r="D165" s="12" t="n">
        <f aca="false">COUNTIFS(Data!$E$2:$E$1249,A165,Data!$F$2:$F$1249,B165,Data!$L$2:$L$1249,"Yes")</f>
        <v>5</v>
      </c>
      <c r="E165" s="16" t="n">
        <f aca="false">IFERROR(D165/C165,0)</f>
        <v>0.555555555555556</v>
      </c>
      <c r="F165" s="17" t="n">
        <f aca="false">D165+C165/1000+ROW()/10000000</f>
        <v>5.0090165</v>
      </c>
      <c r="G165" s="12"/>
      <c r="H165" s="12"/>
      <c r="I165" s="12"/>
      <c r="J165" s="12"/>
      <c r="K165" s="12"/>
    </row>
    <row r="166" customFormat="false" ht="15" hidden="false" customHeight="false" outlineLevel="0" collapsed="false">
      <c r="A166" s="12" t="s">
        <v>86</v>
      </c>
      <c r="B166" s="12" t="s">
        <v>45</v>
      </c>
      <c r="C166" s="12" t="n">
        <f aca="false">COUNTIFS(Data!$E$2:$E$1249,A166,Data!$F$2:$F$1249,B166)</f>
        <v>10</v>
      </c>
      <c r="D166" s="12" t="n">
        <f aca="false">COUNTIFS(Data!$E$2:$E$1249,A166,Data!$F$2:$F$1249,B166,Data!$L$2:$L$1249,"Yes")</f>
        <v>0</v>
      </c>
      <c r="E166" s="16" t="n">
        <f aca="false">IFERROR(D166/C166,0)</f>
        <v>0</v>
      </c>
      <c r="F166" s="17" t="n">
        <f aca="false">D166+C166/1000+ROW()/10000000</f>
        <v>0.0100166</v>
      </c>
      <c r="G166" s="12"/>
      <c r="H166" s="12"/>
      <c r="I166" s="12"/>
      <c r="J166" s="12"/>
      <c r="K166" s="12"/>
    </row>
    <row r="167" customFormat="false" ht="15" hidden="false" customHeight="false" outlineLevel="0" collapsed="false">
      <c r="A167" s="12" t="s">
        <v>92</v>
      </c>
      <c r="B167" s="12" t="s">
        <v>171</v>
      </c>
      <c r="C167" s="12" t="n">
        <f aca="false">COUNTIFS(Data!$E$2:$E$1249,A167,Data!$F$2:$F$1249,B167)</f>
        <v>5</v>
      </c>
      <c r="D167" s="12" t="n">
        <f aca="false">COUNTIFS(Data!$E$2:$E$1249,A167,Data!$F$2:$F$1249,B167,Data!$L$2:$L$1249,"Yes")</f>
        <v>1</v>
      </c>
      <c r="E167" s="16" t="n">
        <f aca="false">IFERROR(D167/C167,0)</f>
        <v>0.2</v>
      </c>
      <c r="F167" s="17" t="n">
        <f aca="false">D167+C167/1000+ROW()/10000000</f>
        <v>1.0050167</v>
      </c>
      <c r="G167" s="12"/>
      <c r="H167" s="12"/>
      <c r="I167" s="12"/>
      <c r="J167" s="12"/>
      <c r="K167" s="12"/>
    </row>
    <row r="168" customFormat="false" ht="15" hidden="false" customHeight="false" outlineLevel="0" collapsed="false">
      <c r="A168" s="12" t="s">
        <v>92</v>
      </c>
      <c r="B168" s="12" t="s">
        <v>93</v>
      </c>
      <c r="C168" s="12" t="n">
        <f aca="false">COUNTIFS(Data!$E$2:$E$1249,A168,Data!$F$2:$F$1249,B168)</f>
        <v>3</v>
      </c>
      <c r="D168" s="12" t="n">
        <f aca="false">COUNTIFS(Data!$E$2:$E$1249,A168,Data!$F$2:$F$1249,B168,Data!$L$2:$L$1249,"Yes")</f>
        <v>0</v>
      </c>
      <c r="E168" s="16" t="n">
        <f aca="false">IFERROR(D168/C168,0)</f>
        <v>0</v>
      </c>
      <c r="F168" s="17" t="n">
        <f aca="false">D168+C168/1000+ROW()/10000000</f>
        <v>0.0030168</v>
      </c>
      <c r="G168" s="12"/>
      <c r="H168" s="12"/>
      <c r="I168" s="12"/>
      <c r="J168" s="12"/>
      <c r="K168" s="12"/>
    </row>
    <row r="169" customFormat="false" ht="15" hidden="false" customHeight="false" outlineLevel="0" collapsed="false">
      <c r="A169" s="12" t="s">
        <v>188</v>
      </c>
      <c r="B169" s="12" t="s">
        <v>403</v>
      </c>
      <c r="C169" s="12" t="n">
        <f aca="false">COUNTIFS(Data!$E$2:$E$1249,A169,Data!$F$2:$F$1249,B169)</f>
        <v>7</v>
      </c>
      <c r="D169" s="12" t="n">
        <f aca="false">COUNTIFS(Data!$E$2:$E$1249,A169,Data!$F$2:$F$1249,B169,Data!$L$2:$L$1249,"Yes")</f>
        <v>0</v>
      </c>
      <c r="E169" s="16" t="n">
        <f aca="false">IFERROR(D169/C169,0)</f>
        <v>0</v>
      </c>
      <c r="F169" s="17" t="n">
        <f aca="false">D169+C169/1000+ROW()/10000000</f>
        <v>0.0070169</v>
      </c>
      <c r="G169" s="12"/>
      <c r="H169" s="12"/>
      <c r="I169" s="12"/>
      <c r="J169" s="12"/>
      <c r="K169" s="12"/>
    </row>
    <row r="170" customFormat="false" ht="15" hidden="false" customHeight="false" outlineLevel="0" collapsed="false">
      <c r="A170" s="12" t="s">
        <v>188</v>
      </c>
      <c r="B170" s="12" t="s">
        <v>79</v>
      </c>
      <c r="C170" s="12" t="n">
        <f aca="false">COUNTIFS(Data!$E$2:$E$1249,A170,Data!$F$2:$F$1249,B170)</f>
        <v>8</v>
      </c>
      <c r="D170" s="12" t="n">
        <f aca="false">COUNTIFS(Data!$E$2:$E$1249,A170,Data!$F$2:$F$1249,B170,Data!$L$2:$L$1249,"Yes")</f>
        <v>4</v>
      </c>
      <c r="E170" s="16" t="n">
        <f aca="false">IFERROR(D170/C170,0)</f>
        <v>0.5</v>
      </c>
      <c r="F170" s="17" t="n">
        <f aca="false">D170+C170/1000+ROW()/10000000</f>
        <v>4.008017</v>
      </c>
      <c r="G170" s="12"/>
      <c r="H170" s="12"/>
      <c r="I170" s="12"/>
      <c r="J170" s="12"/>
      <c r="K170" s="12"/>
    </row>
    <row r="171" customFormat="false" ht="15" hidden="false" customHeight="false" outlineLevel="0" collapsed="false">
      <c r="A171" s="12" t="s">
        <v>253</v>
      </c>
      <c r="B171" s="12" t="s">
        <v>135</v>
      </c>
      <c r="C171" s="12" t="n">
        <f aca="false">COUNTIFS(Data!$E$2:$E$1249,A171,Data!$F$2:$F$1249,B171)</f>
        <v>11</v>
      </c>
      <c r="D171" s="12" t="n">
        <f aca="false">COUNTIFS(Data!$E$2:$E$1249,A171,Data!$F$2:$F$1249,B171,Data!$L$2:$L$1249,"Yes")</f>
        <v>0</v>
      </c>
      <c r="E171" s="16" t="n">
        <f aca="false">IFERROR(D171/C171,0)</f>
        <v>0</v>
      </c>
      <c r="F171" s="17" t="n">
        <f aca="false">D171+C171/1000+ROW()/10000000</f>
        <v>0.0110171</v>
      </c>
      <c r="G171" s="12"/>
      <c r="H171" s="12"/>
      <c r="I171" s="12"/>
      <c r="J171" s="12"/>
      <c r="K171" s="12"/>
    </row>
    <row r="172" customFormat="false" ht="15" hidden="false" customHeight="false" outlineLevel="0" collapsed="false">
      <c r="A172" s="12" t="s">
        <v>253</v>
      </c>
      <c r="B172" s="12" t="s">
        <v>254</v>
      </c>
      <c r="C172" s="12" t="n">
        <f aca="false">COUNTIFS(Data!$E$2:$E$1249,A172,Data!$F$2:$F$1249,B172)</f>
        <v>3</v>
      </c>
      <c r="D172" s="12" t="n">
        <f aca="false">COUNTIFS(Data!$E$2:$E$1249,A172,Data!$F$2:$F$1249,B172,Data!$L$2:$L$1249,"Yes")</f>
        <v>1</v>
      </c>
      <c r="E172" s="16" t="n">
        <f aca="false">IFERROR(D172/C172,0)</f>
        <v>0.333333333333333</v>
      </c>
      <c r="F172" s="17" t="n">
        <f aca="false">D172+C172/1000+ROW()/10000000</f>
        <v>1.0030172</v>
      </c>
      <c r="G172" s="12"/>
      <c r="H172" s="12"/>
      <c r="I172" s="12"/>
      <c r="J172" s="12"/>
      <c r="K172" s="12"/>
    </row>
    <row r="173" customFormat="false" ht="15" hidden="false" customHeight="false" outlineLevel="0" collapsed="false">
      <c r="A173" s="12" t="s">
        <v>164</v>
      </c>
      <c r="B173" s="12" t="s">
        <v>305</v>
      </c>
      <c r="C173" s="12" t="n">
        <f aca="false">COUNTIFS(Data!$E$2:$E$1249,A173,Data!$F$2:$F$1249,B173)</f>
        <v>5</v>
      </c>
      <c r="D173" s="12" t="n">
        <f aca="false">COUNTIFS(Data!$E$2:$E$1249,A173,Data!$F$2:$F$1249,B173,Data!$L$2:$L$1249,"Yes")</f>
        <v>0</v>
      </c>
      <c r="E173" s="16" t="n">
        <f aca="false">IFERROR(D173/C173,0)</f>
        <v>0</v>
      </c>
      <c r="F173" s="17" t="n">
        <f aca="false">D173+C173/1000+ROW()/10000000</f>
        <v>0.0050173</v>
      </c>
      <c r="G173" s="12"/>
      <c r="H173" s="12"/>
      <c r="I173" s="12"/>
      <c r="J173" s="12"/>
      <c r="K173" s="12"/>
    </row>
    <row r="174" customFormat="false" ht="15" hidden="false" customHeight="false" outlineLevel="0" collapsed="false">
      <c r="A174" s="12" t="s">
        <v>164</v>
      </c>
      <c r="B174" s="12" t="s">
        <v>165</v>
      </c>
      <c r="C174" s="12" t="n">
        <f aca="false">COUNTIFS(Data!$E$2:$E$1249,A174,Data!$F$2:$F$1249,B174)</f>
        <v>6</v>
      </c>
      <c r="D174" s="12" t="n">
        <f aca="false">COUNTIFS(Data!$E$2:$E$1249,A174,Data!$F$2:$F$1249,B174,Data!$L$2:$L$1249,"Yes")</f>
        <v>1</v>
      </c>
      <c r="E174" s="16" t="n">
        <f aca="false">IFERROR(D174/C174,0)</f>
        <v>0.166666666666667</v>
      </c>
      <c r="F174" s="17" t="n">
        <f aca="false">D174+C174/1000+ROW()/10000000</f>
        <v>1.0060174</v>
      </c>
      <c r="G174" s="12"/>
      <c r="H174" s="12"/>
      <c r="I174" s="12"/>
      <c r="J174" s="12"/>
      <c r="K174" s="12"/>
    </row>
    <row r="175" customFormat="false" ht="15" hidden="false" customHeight="false" outlineLevel="0" collapsed="false">
      <c r="A175" s="12" t="s">
        <v>191</v>
      </c>
      <c r="B175" s="12" t="s">
        <v>128</v>
      </c>
      <c r="C175" s="12" t="n">
        <f aca="false">COUNTIFS(Data!$E$2:$E$1249,A175,Data!$F$2:$F$1249,B175)</f>
        <v>3</v>
      </c>
      <c r="D175" s="12" t="n">
        <f aca="false">COUNTIFS(Data!$E$2:$E$1249,A175,Data!$F$2:$F$1249,B175,Data!$L$2:$L$1249,"Yes")</f>
        <v>1</v>
      </c>
      <c r="E175" s="16" t="n">
        <f aca="false">IFERROR(D175/C175,0)</f>
        <v>0.333333333333333</v>
      </c>
      <c r="F175" s="17" t="n">
        <f aca="false">D175+C175/1000+ROW()/10000000</f>
        <v>1.0030175</v>
      </c>
      <c r="G175" s="12"/>
      <c r="H175" s="12"/>
      <c r="I175" s="12"/>
      <c r="J175" s="12"/>
      <c r="K175" s="12"/>
    </row>
    <row r="176" customFormat="false" ht="15" hidden="false" customHeight="false" outlineLevel="0" collapsed="false">
      <c r="A176" s="12" t="s">
        <v>191</v>
      </c>
      <c r="B176" s="12" t="s">
        <v>45</v>
      </c>
      <c r="C176" s="12" t="n">
        <f aca="false">COUNTIFS(Data!$E$2:$E$1249,A176,Data!$F$2:$F$1249,B176)</f>
        <v>6</v>
      </c>
      <c r="D176" s="12" t="n">
        <f aca="false">COUNTIFS(Data!$E$2:$E$1249,A176,Data!$F$2:$F$1249,B176,Data!$L$2:$L$1249,"Yes")</f>
        <v>0</v>
      </c>
      <c r="E176" s="16" t="n">
        <f aca="false">IFERROR(D176/C176,0)</f>
        <v>0</v>
      </c>
      <c r="F176" s="17" t="n">
        <f aca="false">D176+C176/1000+ROW()/10000000</f>
        <v>0.0060176</v>
      </c>
      <c r="G176" s="12"/>
      <c r="H176" s="12"/>
      <c r="I176" s="12"/>
      <c r="J176" s="12"/>
      <c r="K176" s="12"/>
    </row>
    <row r="177" customFormat="false" ht="15" hidden="false" customHeight="false" outlineLevel="0" collapsed="false">
      <c r="A177" s="12" t="s">
        <v>191</v>
      </c>
      <c r="B177" s="12" t="s">
        <v>192</v>
      </c>
      <c r="C177" s="12" t="n">
        <f aca="false">COUNTIFS(Data!$E$2:$E$1249,A177,Data!$F$2:$F$1249,B177)</f>
        <v>3</v>
      </c>
      <c r="D177" s="12" t="n">
        <f aca="false">COUNTIFS(Data!$E$2:$E$1249,A177,Data!$F$2:$F$1249,B177,Data!$L$2:$L$1249,"Yes")</f>
        <v>2</v>
      </c>
      <c r="E177" s="16" t="n">
        <f aca="false">IFERROR(D177/C177,0)</f>
        <v>0.666666666666667</v>
      </c>
      <c r="F177" s="17" t="n">
        <f aca="false">D177+C177/1000+ROW()/10000000</f>
        <v>2.0030177</v>
      </c>
      <c r="G177" s="12"/>
      <c r="H177" s="12"/>
      <c r="I177" s="12"/>
      <c r="J177" s="12"/>
      <c r="K177" s="12"/>
    </row>
    <row r="178" customFormat="false" ht="15" hidden="false" customHeight="false" outlineLevel="0" collapsed="false">
      <c r="A178" s="12" t="s">
        <v>134</v>
      </c>
      <c r="B178" s="12" t="s">
        <v>135</v>
      </c>
      <c r="C178" s="12" t="n">
        <f aca="false">COUNTIFS(Data!$E$2:$E$1249,A178,Data!$F$2:$F$1249,B178)</f>
        <v>7</v>
      </c>
      <c r="D178" s="12" t="n">
        <f aca="false">COUNTIFS(Data!$E$2:$E$1249,A178,Data!$F$2:$F$1249,B178,Data!$L$2:$L$1249,"Yes")</f>
        <v>1</v>
      </c>
      <c r="E178" s="16" t="n">
        <f aca="false">IFERROR(D178/C178,0)</f>
        <v>0.142857142857143</v>
      </c>
      <c r="F178" s="17" t="n">
        <f aca="false">D178+C178/1000+ROW()/10000000</f>
        <v>1.0070178</v>
      </c>
      <c r="G178" s="12"/>
      <c r="H178" s="12"/>
      <c r="I178" s="12"/>
      <c r="J178" s="12"/>
      <c r="K178" s="12"/>
    </row>
    <row r="179" customFormat="false" ht="15" hidden="false" customHeight="false" outlineLevel="0" collapsed="false">
      <c r="A179" s="12" t="s">
        <v>134</v>
      </c>
      <c r="B179" s="12" t="s">
        <v>333</v>
      </c>
      <c r="C179" s="12" t="n">
        <f aca="false">COUNTIFS(Data!$E$2:$E$1249,A179,Data!$F$2:$F$1249,B179)</f>
        <v>2</v>
      </c>
      <c r="D179" s="12" t="n">
        <f aca="false">COUNTIFS(Data!$E$2:$E$1249,A179,Data!$F$2:$F$1249,B179,Data!$L$2:$L$1249,"Yes")</f>
        <v>1</v>
      </c>
      <c r="E179" s="16" t="n">
        <f aca="false">IFERROR(D179/C179,0)</f>
        <v>0.5</v>
      </c>
      <c r="F179" s="17" t="n">
        <f aca="false">D179+C179/1000+ROW()/10000000</f>
        <v>1.0020179</v>
      </c>
      <c r="G179" s="12"/>
      <c r="H179" s="12"/>
      <c r="I179" s="12"/>
      <c r="J179" s="12"/>
      <c r="K179" s="12"/>
    </row>
    <row r="180" customFormat="false" ht="15" hidden="false" customHeight="false" outlineLevel="0" collapsed="false">
      <c r="A180" s="12" t="s">
        <v>134</v>
      </c>
      <c r="B180" s="12" t="s">
        <v>254</v>
      </c>
      <c r="C180" s="12" t="n">
        <f aca="false">COUNTIFS(Data!$E$2:$E$1249,A180,Data!$F$2:$F$1249,B180)</f>
        <v>3</v>
      </c>
      <c r="D180" s="12" t="n">
        <f aca="false">COUNTIFS(Data!$E$2:$E$1249,A180,Data!$F$2:$F$1249,B180,Data!$L$2:$L$1249,"Yes")</f>
        <v>1</v>
      </c>
      <c r="E180" s="16" t="n">
        <f aca="false">IFERROR(D180/C180,0)</f>
        <v>0.333333333333333</v>
      </c>
      <c r="F180" s="17" t="n">
        <f aca="false">D180+C180/1000+ROW()/10000000</f>
        <v>1.003018</v>
      </c>
      <c r="G180" s="12"/>
      <c r="H180" s="12"/>
      <c r="I180" s="12"/>
      <c r="J180" s="12"/>
      <c r="K180" s="12"/>
    </row>
    <row r="181" customFormat="false" ht="15" hidden="false" customHeight="false" outlineLevel="0" collapsed="false">
      <c r="A181" s="12" t="s">
        <v>694</v>
      </c>
      <c r="B181" s="12" t="s">
        <v>45</v>
      </c>
      <c r="C181" s="12" t="n">
        <f aca="false">COUNTIFS(Data!$E$2:$E$1249,A181,Data!$F$2:$F$1249,B181)</f>
        <v>1</v>
      </c>
      <c r="D181" s="12" t="n">
        <f aca="false">COUNTIFS(Data!$E$2:$E$1249,A181,Data!$F$2:$F$1249,B181,Data!$L$2:$L$1249,"Yes")</f>
        <v>0</v>
      </c>
      <c r="E181" s="16" t="n">
        <f aca="false">IFERROR(D181/C181,0)</f>
        <v>0</v>
      </c>
      <c r="F181" s="17" t="n">
        <f aca="false">D181+C181/1000+ROW()/10000000</f>
        <v>0.0010181</v>
      </c>
      <c r="G181" s="12"/>
      <c r="H181" s="12"/>
      <c r="I181" s="12"/>
      <c r="J181" s="12"/>
      <c r="K181" s="12"/>
    </row>
    <row r="182" customFormat="false" ht="15" hidden="false" customHeight="false" outlineLevel="0" collapsed="false">
      <c r="A182" s="12" t="s">
        <v>694</v>
      </c>
      <c r="B182" s="12" t="s">
        <v>695</v>
      </c>
      <c r="C182" s="12" t="n">
        <f aca="false">COUNTIFS(Data!$E$2:$E$1249,A182,Data!$F$2:$F$1249,B182)</f>
        <v>2</v>
      </c>
      <c r="D182" s="12" t="n">
        <f aca="false">COUNTIFS(Data!$E$2:$E$1249,A182,Data!$F$2:$F$1249,B182,Data!$L$2:$L$1249,"Yes")</f>
        <v>2</v>
      </c>
      <c r="E182" s="16" t="n">
        <f aca="false">IFERROR(D182/C182,0)</f>
        <v>1</v>
      </c>
      <c r="F182" s="17" t="n">
        <f aca="false">D182+C182/1000+ROW()/10000000</f>
        <v>2.0020182</v>
      </c>
      <c r="G182" s="12"/>
      <c r="H182" s="12"/>
      <c r="I182" s="12"/>
      <c r="J182" s="12"/>
      <c r="K182" s="12"/>
    </row>
    <row r="183" customFormat="false" ht="15" hidden="false" customHeight="false" outlineLevel="0" collapsed="false">
      <c r="A183" s="12" t="s">
        <v>186</v>
      </c>
      <c r="B183" s="12" t="s">
        <v>62</v>
      </c>
      <c r="C183" s="12" t="n">
        <f aca="false">COUNTIFS(Data!$E$2:$E$1249,A183,Data!$F$2:$F$1249,B183)</f>
        <v>1</v>
      </c>
      <c r="D183" s="12" t="n">
        <f aca="false">COUNTIFS(Data!$E$2:$E$1249,A183,Data!$F$2:$F$1249,B183,Data!$L$2:$L$1249,"Yes")</f>
        <v>0</v>
      </c>
      <c r="E183" s="16" t="n">
        <f aca="false">IFERROR(D183/C183,0)</f>
        <v>0</v>
      </c>
      <c r="F183" s="17" t="n">
        <f aca="false">D183+C183/1000+ROW()/10000000</f>
        <v>0.0010183</v>
      </c>
      <c r="G183" s="12"/>
      <c r="H183" s="12"/>
      <c r="I183" s="12"/>
      <c r="J183" s="12"/>
      <c r="K183" s="12"/>
    </row>
    <row r="184" customFormat="false" ht="15" hidden="false" customHeight="false" outlineLevel="0" collapsed="false">
      <c r="A184" s="12" t="s">
        <v>186</v>
      </c>
      <c r="B184" s="12" t="s">
        <v>131</v>
      </c>
      <c r="C184" s="12" t="n">
        <f aca="false">COUNTIFS(Data!$E$2:$E$1249,A184,Data!$F$2:$F$1249,B184)</f>
        <v>11</v>
      </c>
      <c r="D184" s="12" t="n">
        <f aca="false">COUNTIFS(Data!$E$2:$E$1249,A184,Data!$F$2:$F$1249,B184,Data!$L$2:$L$1249,"Yes")</f>
        <v>4</v>
      </c>
      <c r="E184" s="16" t="n">
        <f aca="false">IFERROR(D184/C184,0)</f>
        <v>0.363636363636364</v>
      </c>
      <c r="F184" s="17" t="n">
        <f aca="false">D184+C184/1000+ROW()/10000000</f>
        <v>4.0110184</v>
      </c>
      <c r="G184" s="12"/>
      <c r="H184" s="12"/>
      <c r="I184" s="12"/>
      <c r="J184" s="12"/>
      <c r="K184" s="12"/>
    </row>
    <row r="185" customFormat="false" ht="15" hidden="false" customHeight="false" outlineLevel="0" collapsed="false">
      <c r="A185" s="12" t="s">
        <v>208</v>
      </c>
      <c r="B185" s="12" t="s">
        <v>641</v>
      </c>
      <c r="C185" s="12" t="n">
        <f aca="false">COUNTIFS(Data!$E$2:$E$1249,A185,Data!$F$2:$F$1249,B185)</f>
        <v>3</v>
      </c>
      <c r="D185" s="12" t="n">
        <f aca="false">COUNTIFS(Data!$E$2:$E$1249,A185,Data!$F$2:$F$1249,B185,Data!$L$2:$L$1249,"Yes")</f>
        <v>0</v>
      </c>
      <c r="E185" s="16" t="n">
        <f aca="false">IFERROR(D185/C185,0)</f>
        <v>0</v>
      </c>
      <c r="F185" s="17" t="n">
        <f aca="false">D185+C185/1000+ROW()/10000000</f>
        <v>0.0030185</v>
      </c>
      <c r="G185" s="12"/>
      <c r="H185" s="12"/>
      <c r="I185" s="12"/>
      <c r="J185" s="12"/>
      <c r="K185" s="12"/>
    </row>
    <row r="186" customFormat="false" ht="15" hidden="false" customHeight="false" outlineLevel="0" collapsed="false">
      <c r="A186" s="12" t="s">
        <v>208</v>
      </c>
      <c r="B186" s="12" t="s">
        <v>209</v>
      </c>
      <c r="C186" s="12" t="n">
        <f aca="false">COUNTIFS(Data!$E$2:$E$1249,A186,Data!$F$2:$F$1249,B186)</f>
        <v>1</v>
      </c>
      <c r="D186" s="12" t="n">
        <f aca="false">COUNTIFS(Data!$E$2:$E$1249,A186,Data!$F$2:$F$1249,B186,Data!$L$2:$L$1249,"Yes")</f>
        <v>1</v>
      </c>
      <c r="E186" s="16" t="n">
        <f aca="false">IFERROR(D186/C186,0)</f>
        <v>1</v>
      </c>
      <c r="F186" s="17" t="n">
        <f aca="false">D186+C186/1000+ROW()/10000000</f>
        <v>1.0010186</v>
      </c>
      <c r="G186" s="12"/>
      <c r="H186" s="12"/>
      <c r="I186" s="12"/>
      <c r="J186" s="12"/>
      <c r="K186" s="12"/>
    </row>
    <row r="187" customFormat="false" ht="15" hidden="false" customHeight="false" outlineLevel="0" collapsed="false">
      <c r="A187" s="12" t="s">
        <v>61</v>
      </c>
      <c r="B187" s="12" t="s">
        <v>62</v>
      </c>
      <c r="C187" s="12" t="n">
        <f aca="false">COUNTIFS(Data!$E$2:$E$1249,A187,Data!$F$2:$F$1249,B187)</f>
        <v>9</v>
      </c>
      <c r="D187" s="12" t="n">
        <f aca="false">COUNTIFS(Data!$E$2:$E$1249,A187,Data!$F$2:$F$1249,B187,Data!$L$2:$L$1249,"Yes")</f>
        <v>0</v>
      </c>
      <c r="E187" s="16" t="n">
        <f aca="false">IFERROR(D187/C187,0)</f>
        <v>0</v>
      </c>
      <c r="F187" s="17" t="n">
        <f aca="false">D187+C187/1000+ROW()/10000000</f>
        <v>0.0090187</v>
      </c>
      <c r="G187" s="12"/>
      <c r="H187" s="12"/>
      <c r="I187" s="12"/>
      <c r="J187" s="12"/>
      <c r="K187" s="12"/>
    </row>
    <row r="188" customFormat="false" ht="15" hidden="false" customHeight="false" outlineLevel="0" collapsed="false">
      <c r="A188" s="12" t="s">
        <v>61</v>
      </c>
      <c r="B188" s="12" t="s">
        <v>45</v>
      </c>
      <c r="C188" s="12" t="n">
        <f aca="false">COUNTIFS(Data!$E$2:$E$1249,A188,Data!$F$2:$F$1249,B188)</f>
        <v>8</v>
      </c>
      <c r="D188" s="12" t="n">
        <f aca="false">COUNTIFS(Data!$E$2:$E$1249,A188,Data!$F$2:$F$1249,B188,Data!$L$2:$L$1249,"Yes")</f>
        <v>1</v>
      </c>
      <c r="E188" s="16" t="n">
        <f aca="false">IFERROR(D188/C188,0)</f>
        <v>0.125</v>
      </c>
      <c r="F188" s="17" t="n">
        <f aca="false">D188+C188/1000+ROW()/10000000</f>
        <v>1.0080188</v>
      </c>
      <c r="G188" s="12"/>
      <c r="H188" s="12"/>
      <c r="I188" s="12"/>
      <c r="J188" s="12"/>
      <c r="K188" s="12"/>
    </row>
    <row r="189" customFormat="false" ht="15" hidden="false" customHeight="false" outlineLevel="0" collapsed="false">
      <c r="A189" s="12" t="s">
        <v>61</v>
      </c>
      <c r="B189" s="12" t="s">
        <v>488</v>
      </c>
      <c r="C189" s="12" t="n">
        <f aca="false">COUNTIFS(Data!$E$2:$E$1249,A189,Data!$F$2:$F$1249,B189)</f>
        <v>4</v>
      </c>
      <c r="D189" s="12" t="n">
        <f aca="false">COUNTIFS(Data!$E$2:$E$1249,A189,Data!$F$2:$F$1249,B189,Data!$L$2:$L$1249,"Yes")</f>
        <v>4</v>
      </c>
      <c r="E189" s="16" t="n">
        <f aca="false">IFERROR(D189/C189,0)</f>
        <v>1</v>
      </c>
      <c r="F189" s="17" t="n">
        <f aca="false">D189+C189/1000+ROW()/10000000</f>
        <v>4.0040189</v>
      </c>
      <c r="G189" s="12"/>
      <c r="H189" s="12"/>
      <c r="I189" s="12"/>
      <c r="J189" s="12"/>
      <c r="K189" s="12"/>
    </row>
    <row r="190" customFormat="false" ht="15" hidden="false" customHeight="false" outlineLevel="0" collapsed="false">
      <c r="A190" s="12" t="s">
        <v>256</v>
      </c>
      <c r="B190" s="12" t="s">
        <v>264</v>
      </c>
      <c r="C190" s="12" t="n">
        <f aca="false">COUNTIFS(Data!$E$2:$E$1249,A190,Data!$F$2:$F$1249,B190)</f>
        <v>5</v>
      </c>
      <c r="D190" s="12" t="n">
        <f aca="false">COUNTIFS(Data!$E$2:$E$1249,A190,Data!$F$2:$F$1249,B190,Data!$L$2:$L$1249,"Yes")</f>
        <v>4</v>
      </c>
      <c r="E190" s="16" t="n">
        <f aca="false">IFERROR(D190/C190,0)</f>
        <v>0.8</v>
      </c>
      <c r="F190" s="17" t="n">
        <f aca="false">D190+C190/1000+ROW()/10000000</f>
        <v>4.005019</v>
      </c>
      <c r="G190" s="12"/>
      <c r="H190" s="12"/>
      <c r="I190" s="12"/>
      <c r="J190" s="12"/>
      <c r="K190" s="12"/>
    </row>
    <row r="191" customFormat="false" ht="15" hidden="false" customHeight="false" outlineLevel="0" collapsed="false">
      <c r="A191" s="12" t="s">
        <v>256</v>
      </c>
      <c r="B191" s="12" t="s">
        <v>257</v>
      </c>
      <c r="C191" s="12" t="n">
        <f aca="false">COUNTIFS(Data!$E$2:$E$1249,A191,Data!$F$2:$F$1249,B191)</f>
        <v>2</v>
      </c>
      <c r="D191" s="12" t="n">
        <f aca="false">COUNTIFS(Data!$E$2:$E$1249,A191,Data!$F$2:$F$1249,B191,Data!$L$2:$L$1249,"Yes")</f>
        <v>1</v>
      </c>
      <c r="E191" s="16" t="n">
        <f aca="false">IFERROR(D191/C191,0)</f>
        <v>0.5</v>
      </c>
      <c r="F191" s="17" t="n">
        <f aca="false">D191+C191/1000+ROW()/10000000</f>
        <v>1.0020191</v>
      </c>
      <c r="G191" s="12"/>
      <c r="H191" s="12"/>
      <c r="I191" s="12"/>
      <c r="J191" s="12"/>
      <c r="K191" s="12"/>
    </row>
    <row r="192" customFormat="false" ht="15" hidden="false" customHeight="false" outlineLevel="0" collapsed="false">
      <c r="A192" s="12" t="s">
        <v>256</v>
      </c>
      <c r="B192" s="12" t="s">
        <v>165</v>
      </c>
      <c r="C192" s="12" t="n">
        <f aca="false">COUNTIFS(Data!$E$2:$E$1249,A192,Data!$F$2:$F$1249,B192)</f>
        <v>6</v>
      </c>
      <c r="D192" s="12" t="n">
        <f aca="false">COUNTIFS(Data!$E$2:$E$1249,A192,Data!$F$2:$F$1249,B192,Data!$L$2:$L$1249,"Yes")</f>
        <v>2</v>
      </c>
      <c r="E192" s="16" t="n">
        <f aca="false">IFERROR(D192/C192,0)</f>
        <v>0.333333333333333</v>
      </c>
      <c r="F192" s="17" t="n">
        <f aca="false">D192+C192/1000+ROW()/10000000</f>
        <v>2.0060192</v>
      </c>
      <c r="G192" s="12"/>
      <c r="H192" s="12"/>
      <c r="I192" s="12"/>
      <c r="J192" s="12"/>
      <c r="K192" s="12"/>
    </row>
    <row r="193" customFormat="false" ht="15" hidden="false" customHeight="false" outlineLevel="0" collapsed="false">
      <c r="A193" s="12" t="s">
        <v>656</v>
      </c>
      <c r="B193" s="12" t="s">
        <v>435</v>
      </c>
      <c r="C193" s="12" t="n">
        <f aca="false">COUNTIFS(Data!$E$2:$E$1249,A193,Data!$F$2:$F$1249,B193)</f>
        <v>5</v>
      </c>
      <c r="D193" s="12" t="n">
        <f aca="false">COUNTIFS(Data!$E$2:$E$1249,A193,Data!$F$2:$F$1249,B193,Data!$L$2:$L$1249,"Yes")</f>
        <v>4</v>
      </c>
      <c r="E193" s="16" t="n">
        <f aca="false">IFERROR(D193/C193,0)</f>
        <v>0.8</v>
      </c>
      <c r="F193" s="17" t="n">
        <f aca="false">D193+C193/1000+ROW()/10000000</f>
        <v>4.0050193</v>
      </c>
      <c r="G193" s="12"/>
      <c r="H193" s="12"/>
      <c r="I193" s="12"/>
      <c r="J193" s="12"/>
      <c r="K193" s="12"/>
    </row>
    <row r="194" customFormat="false" ht="15" hidden="false" customHeight="false" outlineLevel="0" collapsed="false">
      <c r="A194" s="12" t="s">
        <v>656</v>
      </c>
      <c r="B194" s="12" t="s">
        <v>751</v>
      </c>
      <c r="C194" s="12" t="n">
        <f aca="false">COUNTIFS(Data!$E$2:$E$1249,A194,Data!$F$2:$F$1249,B194)</f>
        <v>4</v>
      </c>
      <c r="D194" s="12" t="n">
        <f aca="false">COUNTIFS(Data!$E$2:$E$1249,A194,Data!$F$2:$F$1249,B194,Data!$L$2:$L$1249,"Yes")</f>
        <v>0</v>
      </c>
      <c r="E194" s="16" t="n">
        <f aca="false">IFERROR(D194/C194,0)</f>
        <v>0</v>
      </c>
      <c r="F194" s="17" t="n">
        <f aca="false">D194+C194/1000+ROW()/10000000</f>
        <v>0.0040194</v>
      </c>
      <c r="G194" s="12"/>
      <c r="H194" s="12"/>
      <c r="I194" s="12"/>
      <c r="J194" s="12"/>
      <c r="K194" s="12"/>
    </row>
    <row r="195" customFormat="false" ht="15" hidden="false" customHeight="false" outlineLevel="0" collapsed="false">
      <c r="A195" s="12" t="s">
        <v>200</v>
      </c>
      <c r="B195" s="12" t="s">
        <v>403</v>
      </c>
      <c r="C195" s="12" t="n">
        <f aca="false">COUNTIFS(Data!$E$2:$E$1249,A195,Data!$F$2:$F$1249,B195)</f>
        <v>5</v>
      </c>
      <c r="D195" s="12" t="n">
        <f aca="false">COUNTIFS(Data!$E$2:$E$1249,A195,Data!$F$2:$F$1249,B195,Data!$L$2:$L$1249,"Yes")</f>
        <v>2</v>
      </c>
      <c r="E195" s="16" t="n">
        <f aca="false">IFERROR(D195/C195,0)</f>
        <v>0.4</v>
      </c>
      <c r="F195" s="17" t="n">
        <f aca="false">D195+C195/1000+ROW()/10000000</f>
        <v>2.0050195</v>
      </c>
      <c r="G195" s="12"/>
      <c r="H195" s="12"/>
      <c r="I195" s="12"/>
      <c r="J195" s="12"/>
      <c r="K195" s="12"/>
    </row>
    <row r="196" customFormat="false" ht="15" hidden="false" customHeight="false" outlineLevel="0" collapsed="false">
      <c r="A196" s="12" t="s">
        <v>200</v>
      </c>
      <c r="B196" s="12" t="s">
        <v>79</v>
      </c>
      <c r="C196" s="12" t="n">
        <f aca="false">COUNTIFS(Data!$E$2:$E$1249,A196,Data!$F$2:$F$1249,B196)</f>
        <v>12</v>
      </c>
      <c r="D196" s="12" t="n">
        <f aca="false">COUNTIFS(Data!$E$2:$E$1249,A196,Data!$F$2:$F$1249,B196,Data!$L$2:$L$1249,"Yes")</f>
        <v>8</v>
      </c>
      <c r="E196" s="16" t="n">
        <f aca="false">IFERROR(D196/C196,0)</f>
        <v>0.666666666666667</v>
      </c>
      <c r="F196" s="17" t="n">
        <f aca="false">D196+C196/1000+ROW()/10000000</f>
        <v>8.0120196</v>
      </c>
      <c r="G196" s="12"/>
      <c r="H196" s="12"/>
      <c r="I196" s="12"/>
      <c r="J196" s="12"/>
      <c r="K196" s="12"/>
    </row>
    <row r="197" customFormat="false" ht="15" hidden="false" customHeight="false" outlineLevel="0" collapsed="false">
      <c r="A197" s="12" t="s">
        <v>376</v>
      </c>
      <c r="B197" s="12" t="s">
        <v>377</v>
      </c>
      <c r="C197" s="12" t="n">
        <f aca="false">COUNTIFS(Data!$E$2:$E$1249,A197,Data!$F$2:$F$1249,B197)</f>
        <v>4</v>
      </c>
      <c r="D197" s="12" t="n">
        <f aca="false">COUNTIFS(Data!$E$2:$E$1249,A197,Data!$F$2:$F$1249,B197,Data!$L$2:$L$1249,"Yes")</f>
        <v>1</v>
      </c>
      <c r="E197" s="16" t="n">
        <f aca="false">IFERROR(D197/C197,0)</f>
        <v>0.25</v>
      </c>
      <c r="F197" s="17" t="n">
        <f aca="false">D197+C197/1000+ROW()/10000000</f>
        <v>1.0040197</v>
      </c>
      <c r="G197" s="12"/>
      <c r="H197" s="12"/>
      <c r="I197" s="12"/>
      <c r="J197" s="12"/>
      <c r="K197" s="12"/>
    </row>
    <row r="198" customFormat="false" ht="15" hidden="false" customHeight="false" outlineLevel="0" collapsed="false">
      <c r="A198" s="12" t="s">
        <v>376</v>
      </c>
      <c r="B198" s="12" t="s">
        <v>62</v>
      </c>
      <c r="C198" s="12" t="n">
        <f aca="false">COUNTIFS(Data!$E$2:$E$1249,A198,Data!$F$2:$F$1249,B198)</f>
        <v>5</v>
      </c>
      <c r="D198" s="12" t="n">
        <f aca="false">COUNTIFS(Data!$E$2:$E$1249,A198,Data!$F$2:$F$1249,B198,Data!$L$2:$L$1249,"Yes")</f>
        <v>1</v>
      </c>
      <c r="E198" s="16" t="n">
        <f aca="false">IFERROR(D198/C198,0)</f>
        <v>0.2</v>
      </c>
      <c r="F198" s="17" t="n">
        <f aca="false">D198+C198/1000+ROW()/10000000</f>
        <v>1.0050198</v>
      </c>
      <c r="G198" s="12"/>
      <c r="H198" s="12"/>
      <c r="I198" s="12"/>
      <c r="J198" s="12"/>
      <c r="K198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"/>
    <col collapsed="false" customWidth="true" hidden="false" outlineLevel="0" max="3" min="3" style="0" width="9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22"/>
    <col collapsed="false" customWidth="true" hidden="false" outlineLevel="0" max="8" min="8" style="0" width="9"/>
  </cols>
  <sheetData>
    <row r="1" customFormat="false" ht="15" hidden="false" customHeight="false" outlineLevel="0" collapsed="false">
      <c r="A1" s="20" t="s">
        <v>19</v>
      </c>
      <c r="B1" s="20" t="s">
        <v>20</v>
      </c>
      <c r="C1" s="20" t="s">
        <v>21</v>
      </c>
      <c r="D1" s="20" t="s">
        <v>23</v>
      </c>
      <c r="E1" s="20" t="s">
        <v>1509</v>
      </c>
      <c r="F1" s="20" t="s">
        <v>27</v>
      </c>
      <c r="G1" s="20" t="s">
        <v>28</v>
      </c>
      <c r="H1" s="20" t="s">
        <v>30</v>
      </c>
    </row>
    <row r="2" customFormat="false" ht="15" hidden="false" customHeight="false" outlineLevel="0" collapsed="false">
      <c r="A2" s="12" t="str">
        <f aca="false">Data!A2</f>
        <v>ADR0001</v>
      </c>
      <c r="B2" s="12" t="n">
        <f aca="false">Data!B2</f>
        <v>42</v>
      </c>
      <c r="C2" s="12" t="str">
        <f aca="false">Data!C2</f>
        <v>Male</v>
      </c>
      <c r="D2" s="12" t="str">
        <f aca="false">Data!E2</f>
        <v>Ibuprofen</v>
      </c>
      <c r="E2" s="12" t="str">
        <f aca="false">Data!F2</f>
        <v>Gastritis</v>
      </c>
      <c r="F2" s="12" t="n">
        <f aca="false">Data!I2</f>
        <v>22</v>
      </c>
      <c r="G2" s="12" t="str">
        <f aca="false">Data!J2</f>
        <v>Recovered</v>
      </c>
      <c r="H2" s="12" t="str">
        <f aca="false">Data!L2</f>
        <v>No</v>
      </c>
    </row>
    <row r="3" customFormat="false" ht="15" hidden="false" customHeight="false" outlineLevel="0" collapsed="false">
      <c r="A3" s="12" t="str">
        <f aca="false">Data!A3</f>
        <v>ADR0002</v>
      </c>
      <c r="B3" s="12" t="n">
        <f aca="false">Data!B3</f>
        <v>61</v>
      </c>
      <c r="C3" s="12" t="str">
        <f aca="false">Data!C3</f>
        <v>Female</v>
      </c>
      <c r="D3" s="12" t="str">
        <f aca="false">Data!E3</f>
        <v>Acyclovir</v>
      </c>
      <c r="E3" s="12" t="str">
        <f aca="false">Data!F3</f>
        <v>Nausea</v>
      </c>
      <c r="F3" s="12" t="n">
        <f aca="false">Data!I3</f>
        <v>1</v>
      </c>
      <c r="G3" s="12" t="str">
        <f aca="false">Data!J3</f>
        <v>Recovering</v>
      </c>
      <c r="H3" s="12" t="str">
        <f aca="false">Data!L3</f>
        <v>No</v>
      </c>
    </row>
    <row r="4" customFormat="false" ht="15" hidden="false" customHeight="false" outlineLevel="0" collapsed="false">
      <c r="A4" s="12" t="str">
        <f aca="false">Data!A4</f>
        <v>ADR0003</v>
      </c>
      <c r="B4" s="12" t="n">
        <f aca="false">Data!B4</f>
        <v>17</v>
      </c>
      <c r="C4" s="12" t="str">
        <f aca="false">Data!C4</f>
        <v>Male</v>
      </c>
      <c r="D4" s="12" t="str">
        <f aca="false">Data!E4</f>
        <v>Gentamicin</v>
      </c>
      <c r="E4" s="12" t="str">
        <f aca="false">Data!F4</f>
        <v>Ototoxicity</v>
      </c>
      <c r="F4" s="12" t="n">
        <f aca="false">Data!I4</f>
        <v>30</v>
      </c>
      <c r="G4" s="12" t="str">
        <f aca="false">Data!J4</f>
        <v>Recovered</v>
      </c>
      <c r="H4" s="12" t="str">
        <f aca="false">Data!L4</f>
        <v>No</v>
      </c>
    </row>
    <row r="5" customFormat="false" ht="15" hidden="false" customHeight="false" outlineLevel="0" collapsed="false">
      <c r="A5" s="12" t="str">
        <f aca="false">Data!A5</f>
        <v>ADR0004</v>
      </c>
      <c r="B5" s="12" t="n">
        <f aca="false">Data!B5</f>
        <v>48</v>
      </c>
      <c r="C5" s="12" t="str">
        <f aca="false">Data!C5</f>
        <v>Female</v>
      </c>
      <c r="D5" s="12" t="str">
        <f aca="false">Data!E5</f>
        <v>Enalapril</v>
      </c>
      <c r="E5" s="12" t="str">
        <f aca="false">Data!F5</f>
        <v>Angioedema</v>
      </c>
      <c r="F5" s="12" t="n">
        <f aca="false">Data!I5</f>
        <v>1</v>
      </c>
      <c r="G5" s="12" t="str">
        <f aca="false">Data!J5</f>
        <v>Recovered</v>
      </c>
      <c r="H5" s="12" t="str">
        <f aca="false">Data!L5</f>
        <v>Yes</v>
      </c>
    </row>
    <row r="6" customFormat="false" ht="15" hidden="false" customHeight="false" outlineLevel="0" collapsed="false">
      <c r="A6" s="12" t="str">
        <f aca="false">Data!A6</f>
        <v>ADR0005</v>
      </c>
      <c r="B6" s="12" t="n">
        <f aca="false">Data!B6</f>
        <v>43</v>
      </c>
      <c r="C6" s="12" t="str">
        <f aca="false">Data!C6</f>
        <v>Female</v>
      </c>
      <c r="D6" s="12" t="str">
        <f aca="false">Data!E6</f>
        <v>Tramadol</v>
      </c>
      <c r="E6" s="12" t="str">
        <f aca="false">Data!F6</f>
        <v>Dizziness</v>
      </c>
      <c r="F6" s="12" t="n">
        <f aca="false">Data!I6</f>
        <v>3</v>
      </c>
      <c r="G6" s="12" t="str">
        <f aca="false">Data!J6</f>
        <v>Recovered</v>
      </c>
      <c r="H6" s="12" t="str">
        <f aca="false">Data!L6</f>
        <v>No</v>
      </c>
    </row>
    <row r="7" customFormat="false" ht="15" hidden="false" customHeight="false" outlineLevel="0" collapsed="false">
      <c r="A7" s="12" t="str">
        <f aca="false">Data!A7</f>
        <v>ADR0006</v>
      </c>
      <c r="B7" s="12" t="n">
        <f aca="false">Data!B7</f>
        <v>13</v>
      </c>
      <c r="C7" s="12" t="str">
        <f aca="false">Data!C7</f>
        <v>Female</v>
      </c>
      <c r="D7" s="12" t="str">
        <f aca="false">Data!E7</f>
        <v>Methotrexate</v>
      </c>
      <c r="E7" s="12" t="str">
        <f aca="false">Data!F7</f>
        <v>Oral mucositis</v>
      </c>
      <c r="F7" s="12" t="n">
        <f aca="false">Data!I7</f>
        <v>7</v>
      </c>
      <c r="G7" s="12" t="str">
        <f aca="false">Data!J7</f>
        <v>Recovered with Sequelae</v>
      </c>
      <c r="H7" s="12" t="str">
        <f aca="false">Data!L7</f>
        <v>No</v>
      </c>
    </row>
    <row r="8" customFormat="false" ht="15" hidden="false" customHeight="false" outlineLevel="0" collapsed="false">
      <c r="A8" s="12" t="str">
        <f aca="false">Data!A8</f>
        <v>ADR0007</v>
      </c>
      <c r="B8" s="12" t="n">
        <f aca="false">Data!B8</f>
        <v>21</v>
      </c>
      <c r="C8" s="12" t="str">
        <f aca="false">Data!C8</f>
        <v>Female</v>
      </c>
      <c r="D8" s="12" t="str">
        <f aca="false">Data!E8</f>
        <v>Morphine</v>
      </c>
      <c r="E8" s="12" t="str">
        <f aca="false">Data!F8</f>
        <v>Respiratory depression</v>
      </c>
      <c r="F8" s="12" t="n">
        <f aca="false">Data!I8</f>
        <v>0</v>
      </c>
      <c r="G8" s="12" t="str">
        <f aca="false">Data!J8</f>
        <v>Recovered</v>
      </c>
      <c r="H8" s="12" t="str">
        <f aca="false">Data!L8</f>
        <v>No</v>
      </c>
    </row>
    <row r="9" customFormat="false" ht="15" hidden="false" customHeight="false" outlineLevel="0" collapsed="false">
      <c r="A9" s="12" t="str">
        <f aca="false">Data!A9</f>
        <v>ADR0008</v>
      </c>
      <c r="B9" s="12" t="n">
        <f aca="false">Data!B9</f>
        <v>47</v>
      </c>
      <c r="C9" s="12" t="str">
        <f aca="false">Data!C9</f>
        <v>Male</v>
      </c>
      <c r="D9" s="12" t="str">
        <f aca="false">Data!E9</f>
        <v>Amoxicillin</v>
      </c>
      <c r="E9" s="12" t="str">
        <f aca="false">Data!F9</f>
        <v>Anaphylaxis</v>
      </c>
      <c r="F9" s="12" t="n">
        <f aca="false">Data!I9</f>
        <v>1</v>
      </c>
      <c r="G9" s="12" t="str">
        <f aca="false">Data!J9</f>
        <v>Recovered</v>
      </c>
      <c r="H9" s="12" t="str">
        <f aca="false">Data!L9</f>
        <v>Yes</v>
      </c>
    </row>
    <row r="10" customFormat="false" ht="15" hidden="false" customHeight="false" outlineLevel="0" collapsed="false">
      <c r="A10" s="12" t="str">
        <f aca="false">Data!A10</f>
        <v>ADR0009</v>
      </c>
      <c r="B10" s="12" t="n">
        <f aca="false">Data!B10</f>
        <v>60</v>
      </c>
      <c r="C10" s="12" t="str">
        <f aca="false">Data!C10</f>
        <v>Female</v>
      </c>
      <c r="D10" s="12" t="str">
        <f aca="false">Data!E10</f>
        <v>Apixaban</v>
      </c>
      <c r="E10" s="12" t="str">
        <f aca="false">Data!F10</f>
        <v>Haemorrhage</v>
      </c>
      <c r="F10" s="12" t="n">
        <f aca="false">Data!I10</f>
        <v>16</v>
      </c>
      <c r="G10" s="12" t="str">
        <f aca="false">Data!J10</f>
        <v>Recovered with Sequelae</v>
      </c>
      <c r="H10" s="12" t="str">
        <f aca="false">Data!L10</f>
        <v>Yes</v>
      </c>
    </row>
    <row r="11" customFormat="false" ht="15" hidden="false" customHeight="false" outlineLevel="0" collapsed="false">
      <c r="A11" s="12" t="str">
        <f aca="false">Data!A11</f>
        <v>ADR0010</v>
      </c>
      <c r="B11" s="12" t="n">
        <f aca="false">Data!B11</f>
        <v>46</v>
      </c>
      <c r="C11" s="12" t="str">
        <f aca="false">Data!C11</f>
        <v>Male</v>
      </c>
      <c r="D11" s="12" t="str">
        <f aca="false">Data!E11</f>
        <v>Digoxin</v>
      </c>
      <c r="E11" s="12" t="str">
        <f aca="false">Data!F11</f>
        <v>Nausea</v>
      </c>
      <c r="F11" s="12" t="n">
        <f aca="false">Data!I11</f>
        <v>6</v>
      </c>
      <c r="G11" s="12" t="str">
        <f aca="false">Data!J11</f>
        <v>Recovered</v>
      </c>
      <c r="H11" s="12" t="str">
        <f aca="false">Data!L11</f>
        <v>No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2026-10-24T05:14:11Z</dcterms:created>
  <dc:creator>openpyxl</dc:creator>
  <dc:description/>
  <dc:language>en-US</dc:language>
  <cp:lastModifiedBy/>
  <dcterms:modified xsi:type="dcterms:W3CDTF">2026-10-24T05:14:13Z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